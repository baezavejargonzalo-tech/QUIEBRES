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_usar" sheetId="1" state="visible" r:id="rId3"/>
    <sheet name="Parametros" sheetId="2" state="visible" r:id="rId4"/>
    <sheet name="Excepciones" sheetId="3" state="visible" r:id="rId5"/>
    <sheet name="Datos_Semanales" sheetId="4" state="visible" r:id="rId6"/>
    <sheet name="ABC_XYZ" sheetId="5" state="visible" r:id="rId7"/>
    <sheet name="Stock_Seguridad" sheetId="6" state="visible" r:id="rId8"/>
    <sheet name="Cadenas_vs_FCST" sheetId="7" state="visible" r:id="rId9"/>
  </sheets>
  <definedNames>
    <definedName function="false" hidden="true" localSheetId="4" name="_xlnm._FilterDatabase" vbProcedure="false">ABC_XYZ!$A$4:$R$137</definedName>
    <definedName function="false" hidden="true" localSheetId="6" name="_xlnm._FilterDatabase" vbProcedure="false">Cadenas_vs_FCST!$A$16:$H$652</definedName>
    <definedName function="false" hidden="true" localSheetId="3" name="_xlnm._FilterDatabase" vbProcedure="false">Datos_Semanales!$A$4:$S$137</definedName>
    <definedName function="false" hidden="true" localSheetId="2" name="_xlnm._FilterDatabase" vbProcedure="false">Excepciones!$A$4:$AC$118</definedName>
    <definedName function="false" hidden="true" localSheetId="5" name="_xlnm._FilterDatabase" vbProcedure="false">Stock_Seguridad!$A$4:$X$118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WMAPE = suma |pedido − FCST| / suma pedido. Bajo 20% es bueno a nivel SKU semanal.</t>
        </r>
      </text>
    </comment>
    <comment ref="Q4" authorId="0">
      <text>
        <r>
          <rPr>
            <sz val="10"/>
            <rFont val="Arial"/>
            <family val="2"/>
          </rPr>
          <t xml:space="preserve">Sesgo = FCST / pedido − 1. Positivo: sobreestimas (riesgo merma). Negativo: subestimas (riesgo quiebre).</t>
        </r>
      </text>
    </comment>
  </commentList>
</comments>
</file>

<file path=xl/sharedStrings.xml><?xml version="1.0" encoding="utf-8"?>
<sst xmlns="http://schemas.openxmlformats.org/spreadsheetml/2006/main" count="2624" uniqueCount="458">
  <si>
    <t xml:space="preserve">Herramienta Demand Planner — Watt's — Grupo Lacteos Y Jugos (datos al 22-10-2026)</t>
  </si>
  <si>
    <t xml:space="preserve">Hojas de este libro:</t>
  </si>
  <si>
    <t xml:space="preserve">• Excepciones — tu tablero diario. Una fila por SKU; solo mira las que tienen alerta. Columna "Qué revisar" te dice la acción.</t>
  </si>
  <si>
    <t xml:space="preserve">• Stock_Seguridad — cálculo de SS, punto de reorden y techo por vida útil para cada SKU.</t>
  </si>
  <si>
    <t xml:space="preserve">• ABC_XYZ — segmentación de cada SKU y cómo planificarlo. Incluye calidad del forecast (WMAPE y sesgo).</t>
  </si>
  <si>
    <t xml:space="preserve">• Cadenas_vs_FCST — qué cadena pidió más y cuál se desvió más del forecast (S38-S41).</t>
  </si>
  <si>
    <t xml:space="preserve">• Parametros — celdas amarillas editables: cortes, niveles de servicio, lead time, umbrales.</t>
  </si>
  <si>
    <t xml:space="preserve">• Datos_Semanales — pedidos y FCST por SKU (fuente). Para actualizar: pega las semanas nuevas aquí.</t>
  </si>
  <si>
    <t xml:space="preserve">Convención de colores: texto azul en celda amarilla = dato que tú editas. Texto negro = fórmula. Texto verde = viene de otra hoja.</t>
  </si>
  <si>
    <t xml:space="preserve">1. ¿Qué es ABC/XYZ? — Ejemplo con fórmulas (cambia los números azules y mira cómo cambia)</t>
  </si>
  <si>
    <t xml:space="preserve">ABC mide CUÁNTO vende el SKU (importancia). XYZ mide QUÉ TAN ESTABLE es (predictibilidad). Se cruzan en 9 segmentos.</t>
  </si>
  <si>
    <t xml:space="preserve">SKU ejemplo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</si>
  <si>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</si>
  <si>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</si>
  <si>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</si>
  <si>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</si>
  <si>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</si>
  <si>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</si>
  <si>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Promedio</t>
  </si>
  <si>
    <t xml:space="preserve">Desv. est.</t>
  </si>
  <si>
    <t xml:space="preserve">CV</t>
  </si>
  <si>
    <t xml:space="preserve">XYZ</t>
  </si>
  <si>
    <t xml:space="preserve">Leche entera 1L (estable)</t>
  </si>
  <si>
    <t xml:space="preserve">Yogurt con promo (variable)</t>
  </si>
  <si>
    <t xml:space="preserve">Queso especial (errático)</t>
  </si>
  <si>
    <t xml:space="preserve">CV (coeficiente de variación) = desviación estándar ÷ promedio. CV 0,02 = la leche vende casi igual todas las semanas → X.</t>
  </si>
  <si>
    <t xml:space="preserve">CV ≤ 0,5 → X (estable, se planifica con estadística).  0,5–1,0 → Y (variable, hay que entender por qué).  &gt; 1,0 → Z (errático).</t>
  </si>
  <si>
    <t xml:space="preserve">ABC: ordenas los SKU de mayor a menor volumen y sumas. Los que llegan al 80% del total son A; hasta el 95% son B; el resto C.</t>
  </si>
  <si>
    <t xml:space="preserve">Ejemplo: si un SKU es A (mucho volumen) y Z (errático) = AZ → es donde un error te cuesta más: ahí va tu tiempo.</t>
  </si>
  <si>
    <t xml:space="preserve">Un AX (mucho volumen, estable) casi se planifica solo: no lo toques cada semana. Un CZ (poco y errático) no merece tu tiempo: stock mínimo.</t>
  </si>
  <si>
    <t xml:space="preserve">Tu lista real está en la hoja ABC_XYZ; la matriz de acciones por segmento está en Parametros.</t>
  </si>
  <si>
    <t xml:space="preserve">2. Stock de seguridad — Ejemplo con fórmulas</t>
  </si>
  <si>
    <t xml:space="preserve">El SS cubre el ERROR del forecast durante el tiempo que tardas en reponer. Por eso usa σ del error (no de la venta).</t>
  </si>
  <si>
    <t xml:space="preserve">FCST semanal (kg)</t>
  </si>
  <si>
    <t xml:space="preserve">σ del error del forecast (kg/sem)</t>
  </si>
  <si>
    <t xml:space="preserve">Lead time (semanas)</t>
  </si>
  <si>
    <t xml:space="preserve">Nivel de servicio</t>
  </si>
  <si>
    <t xml:space="preserve">Z (=NORMSINV(nivel))</t>
  </si>
  <si>
    <t xml:space="preserve">SS = Z × σ × √LT (kg)</t>
  </si>
  <si>
    <t xml:space="preserve">Punto de reorden = SS + FCST × LT (kg)</t>
  </si>
  <si>
    <t xml:space="preserve">VU del producto (días)</t>
  </si>
  <si>
    <t xml:space="preserve">Tope avance cadena más exigente</t>
  </si>
  <si>
    <t xml:space="preserve">Semanas vendibles = VU × tope / 7</t>
  </si>
  <si>
    <t xml:space="preserve">Stock máx. vendible = FCST × semanas vendibles</t>
  </si>
  <si>
    <t xml:space="preserve">SS final = MIN(SS, máx. vendible − FCST × LT)</t>
  </si>
  <si>
    <t xml:space="preserve">Lectura: con 98% de servicio necesitas ~5.800 kg de SS. Pero si el producto dura 50 días y la cadena más exigente acepta hasta 35% de avance,</t>
  </si>
  <si>
    <t xml:space="preserve">solo tienes 2,5 semanas para venderlo: máx. vendible 25.000 kg − 20.000 kg que vendes durante el lead time = SS topado en 5.000 kg. Producir más = merma.</t>
  </si>
  <si>
    <t xml:space="preserve">Z según nivel de servicio: 90% → 1,28 · 95% → 1,64 · 98% → 2,05 · 99% → 2,33.  Subir de 95% a 99% casi aumenta el SS en 42%.</t>
  </si>
  <si>
    <t xml:space="preserve">Dato pendiente: el lead time real por categoría (hoy se usa 1 semana por defecto). Cárgalo en Parametros y todo se recalcula.</t>
  </si>
  <si>
    <t xml:space="preserve">3. Gestión por excepción — rutina sugerida</t>
  </si>
  <si>
    <t xml:space="preserve">LUNES (30 min): actualizar archivos → hoja Excepciones → filtrar Prioridad 1-ALTA. Revisar ALERTA QUIEBRE y QUIEBRE ENCUBIERTO.</t>
  </si>
  <si>
    <t xml:space="preserve">LUNES: hoja Cadenas_vs_FCST → ¿qué cadena se desvió más? Llevar los SKU "SOBRE/BAJO FCST" a la reunión con KAM.</t>
  </si>
  <si>
    <t xml:space="preserve">Estados de stock: BAJO SS = stock + por liberar no alcanza el SS (crítico) · BAJO SS (XLIB CUBRE) = se salva solo si liberan a tiempo ·</t>
  </si>
  <si>
    <t xml:space="preserve">BAJO P.REORDEN = no es alerta, es la señal normal de programar producción · SOBRE MAX VENDIBLE = más stock del que se alcanza a vender dentro del filtro.</t>
  </si>
  <si>
    <t xml:space="preserve">MARTES-JUEVES (15 min/día): solo SKU AZ, AY y BZ + nuevas alertas. Ignorar los AX y CX salvo que tengan alerta.</t>
  </si>
  <si>
    <t xml:space="preserve">VIERNES (20 min): ALERTA MERMA/VU → lotes a ≤6 pts del filtro: priorizar despacho (FEFO) o venta intermedia antes de que se pierdan.</t>
  </si>
  <si>
    <t xml:space="preserve">MENSUAL: revisar WMAPE y sesgo en ABC_XYZ. Si un SKU tiene sesgo persistente &gt; ±10%, corregir el forecast base, no parchar semana a semana.</t>
  </si>
  <si>
    <t xml:space="preserve">Regla de oro: si un SKU no tiene alerta, no lo toques. Tu tiempo vale más en los 30-50 SKU que sí la tienen.</t>
  </si>
  <si>
    <t xml:space="preserve">Las 4 alertas: QUIEBRE (stock bajo SS/reorden) · QUIEBRE ENCUBIERTO (hay stock pero no pasa el filtro de la cadena exigente) ·</t>
  </si>
  <si>
    <t xml:space="preserve">MERMA/VU (sobrestock vs vida útil o lotes fuera/cerca del filtro) · DESVIACIÓN (pedidos ±20% vs FCST en 4 semanas).</t>
  </si>
  <si>
    <t xml:space="preserve">Parámetros — edita solo las celdas amarillas (texto azul)</t>
  </si>
  <si>
    <t xml:space="preserve">Parámetro</t>
  </si>
  <si>
    <t xml:space="preserve">Valor</t>
  </si>
  <si>
    <t xml:space="preserve">Nota / fuente</t>
  </si>
  <si>
    <t xml:space="preserve">Corte ABC: A hasta % acumulado</t>
  </si>
  <si>
    <t xml:space="preserve">Pareto estándar: los SKU que suman el 80% del volumen son A.</t>
  </si>
  <si>
    <t xml:space="preserve">Corte ABC: B hasta % acumulado</t>
  </si>
  <si>
    <t xml:space="preserve">Del 80% al 95% son B; el resto (5% del volumen) son C.</t>
  </si>
  <si>
    <t xml:space="preserve">Corte XYZ: X si CV ≤</t>
  </si>
  <si>
    <t xml:space="preserve">CV = desviación estándar / promedio semanal. Corte usual en demanda semanal por SKU.</t>
  </si>
  <si>
    <t xml:space="preserve">Corte XYZ: Y si CV ≤</t>
  </si>
  <si>
    <t xml:space="preserve">Sobre este valor el SKU es Z (errático).</t>
  </si>
  <si>
    <t xml:space="preserve">Nivel de servicio A</t>
  </si>
  <si>
    <t xml:space="preserve">Supuesto inicial (benchmark internacional). Ajustar según política Watt's.</t>
  </si>
  <si>
    <t xml:space="preserve">Nivel de servicio B</t>
  </si>
  <si>
    <t xml:space="preserve">Supuesto inicial.</t>
  </si>
  <si>
    <t xml:space="preserve">Nivel de servicio C</t>
  </si>
  <si>
    <t xml:space="preserve">Nivel de servicio SKU sin historial</t>
  </si>
  <si>
    <t xml:space="preserve">Para SKU sin ventas en la base S36-S41.</t>
  </si>
  <si>
    <t xml:space="preserve">Lead time por defecto (semanas)</t>
  </si>
  <si>
    <t xml:space="preserve">SUPUESTO: no se recibió lead time real. Reemplazar por categoría en la tabla de abajo.</t>
  </si>
  <si>
    <t xml:space="preserve">σ por defecto (% del FCST semanal) si no hay historial</t>
  </si>
  <si>
    <t xml:space="preserve">SUPUESTO para SKU sin historial de pedidos.</t>
  </si>
  <si>
    <t xml:space="preserve">Umbral desviación pedido vs FCST (±)</t>
  </si>
  <si>
    <t xml:space="preserve">Alerta si |Solicitado/FCST − 1| supera este valor.</t>
  </si>
  <si>
    <t xml:space="preserve">Volumen mínimo para alertar desviación SKU (kg, 4 sem)</t>
  </si>
  <si>
    <t xml:space="preserve">Evita alertas por SKU de volumen marginal.</t>
  </si>
  <si>
    <t xml:space="preserve">Volumen mínimo para alertar desviación SKU×cadena (kg, 4 sem)</t>
  </si>
  <si>
    <t xml:space="preserve">Idem, a nivel SKU×cadena.</t>
  </si>
  <si>
    <t xml:space="preserve">Kg mínimo para alertar VU (por SKU)</t>
  </si>
  <si>
    <t xml:space="preserve">Evita alertas por saldos pequeños de lotes.</t>
  </si>
  <si>
    <t xml:space="preserve">Margen de alerta VU (puntos de avance antes del filtro)</t>
  </si>
  <si>
    <t xml:space="preserve">Misma regla del dashboard: alerta si el lote está a ≤ 6 pts del tope de la cadena más exigente.</t>
  </si>
  <si>
    <t xml:space="preserve">Matriz ABC/XYZ — qué hacer con cada segmento</t>
  </si>
  <si>
    <t xml:space="preserve">Segmento</t>
  </si>
  <si>
    <t xml:space="preserve">Cómo planificarlo</t>
  </si>
  <si>
    <t xml:space="preserve">Frecuencia de revisión</t>
  </si>
  <si>
    <t xml:space="preserve">AX</t>
  </si>
  <si>
    <t xml:space="preserve">Forecast estadístico casi automático. Ajustes mínimos. SS bajo porque la demanda es estable.</t>
  </si>
  <si>
    <t xml:space="preserve">Mensual</t>
  </si>
  <si>
    <t xml:space="preserve">AY</t>
  </si>
  <si>
    <t xml:space="preserve">Alto volumen con variaciones: entender causas (promos, cadenas). Validar con KAM antes de ajustar.</t>
  </si>
  <si>
    <t xml:space="preserve">Semanal</t>
  </si>
  <si>
    <t xml:space="preserve">AZ</t>
  </si>
  <si>
    <t xml:space="preserve">FOCO MÁXIMO. Mucho volumen y errático: CPFR con cadenas, separar promociones de la base, SS alto.</t>
  </si>
  <si>
    <t xml:space="preserve">2 veces por semana</t>
  </si>
  <si>
    <t xml:space="preserve">BX</t>
  </si>
  <si>
    <t xml:space="preserve">Estadístico + revisión de tendencia.</t>
  </si>
  <si>
    <t xml:space="preserve">BY</t>
  </si>
  <si>
    <t xml:space="preserve">Validar promociones y eventos con comercial.</t>
  </si>
  <si>
    <t xml:space="preserve">Quincenal</t>
  </si>
  <si>
    <t xml:space="preserve">BZ</t>
  </si>
  <si>
    <t xml:space="preserve">Investigar causa de la variabilidad; evaluar producir contra pedido confirmado.</t>
  </si>
  <si>
    <t xml:space="preserve">CX</t>
  </si>
  <si>
    <t xml:space="preserve">Reposición simple mín/máx.</t>
  </si>
  <si>
    <t xml:space="preserve">Trimestral</t>
  </si>
  <si>
    <t xml:space="preserve">CY</t>
  </si>
  <si>
    <t xml:space="preserve">Mín/máx con stock bajo; evaluar continuidad del SKU.</t>
  </si>
  <si>
    <t xml:space="preserve">CZ</t>
  </si>
  <si>
    <t xml:space="preserve">Contra pedido o stock mínimo. Candidato a racionalizar/descontinuar.</t>
  </si>
  <si>
    <t xml:space="preserve">Lead time de reposición por categoría (semanas) — reemplaza con el dato real</t>
  </si>
  <si>
    <t xml:space="preserve">Categoría</t>
  </si>
  <si>
    <t xml:space="preserve">Lead time (sem)</t>
  </si>
  <si>
    <t xml:space="preserve">Nota</t>
  </si>
  <si>
    <t xml:space="preserve">CREMA</t>
  </si>
  <si>
    <t xml:space="preserve">Usa el valor por defecto hasta que ingreses el real</t>
  </si>
  <si>
    <t xml:space="preserve">JUGOS Y NECTARES</t>
  </si>
  <si>
    <t xml:space="preserve">LECHE EVAPORADA</t>
  </si>
  <si>
    <t xml:space="preserve">LECHES EN POLVO</t>
  </si>
  <si>
    <t xml:space="preserve">LECHES LIQUIDAS</t>
  </si>
  <si>
    <t xml:space="preserve">MANJAR</t>
  </si>
  <si>
    <t xml:space="preserve">Tablero de excepciones — revisa solo lo que tiene alerta — Grupo Lacteos Y Jugos</t>
  </si>
  <si>
    <t xml:space="preserve">Ordena por Puntaje (mayor a menor) y trabaja de arriba hacia abajo. Puntaje = (Quiebre×3 + Encubierto×2 + Merma/VU×2 + Desviación×1) × peso ABC (A=3, B=2, C=1). Cada fila dice qué revisar. Datos al 22-10-2026.</t>
  </si>
  <si>
    <t xml:space="preserve">SKU</t>
  </si>
  <si>
    <t xml:space="preserve">Producto</t>
  </si>
  <si>
    <t xml:space="preserve">Estado stock</t>
  </si>
  <si>
    <t xml:space="preserve">Cobertura (sem)</t>
  </si>
  <si>
    <t xml:space="preserve">Stock disp (kg)</t>
  </si>
  <si>
    <t xml:space="preserve">SS final (kg)</t>
  </si>
  <si>
    <t xml:space="preserve">Punto reorden (kg)</t>
  </si>
  <si>
    <t xml:space="preserve">XLIB (kg)</t>
  </si>
  <si>
    <t xml:space="preserve">Próx. liberación</t>
  </si>
  <si>
    <t xml:space="preserve">Kg fuera filtro cadena exigente</t>
  </si>
  <si>
    <t xml:space="preserve">Kg a ≤6 pts del filtro</t>
  </si>
  <si>
    <t xml:space="preserve">Kg fuera de TODAS las cadenas</t>
  </si>
  <si>
    <t xml:space="preserve">Avance VU ponderado</t>
  </si>
  <si>
    <t xml:space="preserve">Tope cadena exigente</t>
  </si>
  <si>
    <t xml:space="preserve">Margen (pts)</t>
  </si>
  <si>
    <t xml:space="preserve">Stock útil cadena exigente (kg)</t>
  </si>
  <si>
    <t xml:space="preserve">Solicitado 4 sem (kg)</t>
  </si>
  <si>
    <t xml:space="preserve">FCST 4 sem (kg)</t>
  </si>
  <si>
    <t xml:space="preserve">Desv. %</t>
  </si>
  <si>
    <t xml:space="preserve">ALERTA QUIEBRE</t>
  </si>
  <si>
    <t xml:space="preserve">QUIEBRE ENCUBIERTO (VU)</t>
  </si>
  <si>
    <t xml:space="preserve">ALERTA MERMA/VU</t>
  </si>
  <si>
    <t xml:space="preserve">ALERTA DESVIACIÓN</t>
  </si>
  <si>
    <t xml:space="preserve">N° alertas</t>
  </si>
  <si>
    <t xml:space="preserve">Puntaje</t>
  </si>
  <si>
    <t xml:space="preserve">Prioridad</t>
  </si>
  <si>
    <t xml:space="preserve">Qué revisar</t>
  </si>
  <si>
    <t xml:space="preserve">Resumen</t>
  </si>
  <si>
    <t xml:space="preserve">SKU con alerta de quiebre</t>
  </si>
  <si>
    <t xml:space="preserve">SKU con quiebre encubierto (VU)</t>
  </si>
  <si>
    <t xml:space="preserve">SKU con alerta merma/VU</t>
  </si>
  <si>
    <t xml:space="preserve">SKU con desviación pedido vs FCST</t>
  </si>
  <si>
    <t xml:space="preserve">Prioridad 1-ALTA</t>
  </si>
  <si>
    <t xml:space="preserve">Prioridad 2-MEDIA</t>
  </si>
  <si>
    <t xml:space="preserve">Kg fuera de filtro cadena exigente</t>
  </si>
  <si>
    <t xml:space="preserve">Pedidos (Solicitado) y FCST semanales por SKU, en kg — fuente: base_1.xlsx (todas las cadenas sumadas) — Grupo Lacteos Y Jugos</t>
  </si>
  <si>
    <t xml:space="preserve">S42 parece cargada incompleta (Solicitado −35% vs S41 en todas las cadenas): no se usa en los cálculos. S38 incluye Fiestas Patrias.</t>
  </si>
  <si>
    <t xml:space="preserve">Almacenamiento</t>
  </si>
  <si>
    <t xml:space="preserve">Foco</t>
  </si>
  <si>
    <t xml:space="preserve">Sol S36</t>
  </si>
  <si>
    <t xml:space="preserve">Sol S37</t>
  </si>
  <si>
    <t xml:space="preserve">Sol S38</t>
  </si>
  <si>
    <t xml:space="preserve">Sol S39</t>
  </si>
  <si>
    <t xml:space="preserve">Sol S40</t>
  </si>
  <si>
    <t xml:space="preserve">Sol S41</t>
  </si>
  <si>
    <t xml:space="preserve">Sol S42</t>
  </si>
  <si>
    <t xml:space="preserve">FCST S36</t>
  </si>
  <si>
    <t xml:space="preserve">FCST S37</t>
  </si>
  <si>
    <t xml:space="preserve">FCST S38</t>
  </si>
  <si>
    <t xml:space="preserve">FCST S39</t>
  </si>
  <si>
    <t xml:space="preserve">FCST S40</t>
  </si>
  <si>
    <t xml:space="preserve">FCST S41</t>
  </si>
  <si>
    <t xml:space="preserve">FCST S42</t>
  </si>
  <si>
    <t xml:space="preserve">LECHE BCA ENTERA LONCO BASE 12X1LT</t>
  </si>
  <si>
    <t xml:space="preserve">SECO</t>
  </si>
  <si>
    <t xml:space="preserve">FOCO A</t>
  </si>
  <si>
    <t xml:space="preserve">LECHE LONCO S/LAC NAT ENT 12X1LT</t>
  </si>
  <si>
    <t xml:space="preserve">LECHE LONCO SEMI S/LAC 12X1LT</t>
  </si>
  <si>
    <t xml:space="preserve">LECHE LCO DESC S/LACTOSA 12X1LT</t>
  </si>
  <si>
    <t xml:space="preserve">LECHE BLANCA DESC LCO BASE 12X1LT</t>
  </si>
  <si>
    <t xml:space="preserve">NECTAR W DZNO SIXPACK 30X200ML</t>
  </si>
  <si>
    <t xml:space="preserve">LECHE BCA SEMI LONCO BASE 12X1LT</t>
  </si>
  <si>
    <t xml:space="preserve">NECTAR W PIÑA SIXPACK 30X200ML</t>
  </si>
  <si>
    <t xml:space="preserve">NECTAR W NJA SIXPACK 30X200ML</t>
  </si>
  <si>
    <t xml:space="preserve">NECTAR W MZNA SIXPACK 30X200ML</t>
  </si>
  <si>
    <t xml:space="preserve">LECHE FRUTILLA LONCO 30X200ML</t>
  </si>
  <si>
    <t xml:space="preserve">LECHE CHOC LONCO 30X200ML</t>
  </si>
  <si>
    <t xml:space="preserve">YOGU YOGU MORA 30X200GR</t>
  </si>
  <si>
    <t xml:space="preserve">NECTAR W TUTTIFRUTILLA SIXPACK 30X200ML</t>
  </si>
  <si>
    <t xml:space="preserve">LONCOLECHE EXTRA PROTEINA 12X1LT</t>
  </si>
  <si>
    <t xml:space="preserve">LECHE FRUTILLA LONCOLECHE 12X1LT</t>
  </si>
  <si>
    <t xml:space="preserve">LONCO PROTEIN MILK CAPP 12X1LT</t>
  </si>
  <si>
    <t xml:space="preserve">FOCO B</t>
  </si>
  <si>
    <t xml:space="preserve">LECHE LONCO PROTEIN CAPPUCCINO 30X200ML</t>
  </si>
  <si>
    <t xml:space="preserve">YOGU YOGU FRUTILLA 30X200GR</t>
  </si>
  <si>
    <t xml:space="preserve">LECHE LONCO FULL PRO DESCR 12X1LT</t>
  </si>
  <si>
    <t xml:space="preserve">-</t>
  </si>
  <si>
    <t xml:space="preserve">CREMA S/LAC LONCO 30X200ML</t>
  </si>
  <si>
    <t xml:space="preserve">LECHE POLVO CALO 26% INST 20X850GR</t>
  </si>
  <si>
    <t xml:space="preserve">NECTAR W NJA LIG SIXPACK 30X200ML</t>
  </si>
  <si>
    <t xml:space="preserve">NECTAR W DZNO S/AZUCAR 30X200ML</t>
  </si>
  <si>
    <t xml:space="preserve">FOCO C</t>
  </si>
  <si>
    <t xml:space="preserve">LECHE LONCO PROTEIN CHOCOLATE 30X200ML</t>
  </si>
  <si>
    <t xml:space="preserve">LONCO PROTEINMILK CHOCO 12X1LT</t>
  </si>
  <si>
    <t xml:space="preserve">MANJAR LONCOLECHE BOLSA 10X920GR</t>
  </si>
  <si>
    <t xml:space="preserve">NECTAR WATTS MZNA LIGHT 30X200ML</t>
  </si>
  <si>
    <t xml:space="preserve">LECHE PLATANO LONCO 30X200ML</t>
  </si>
  <si>
    <t xml:space="preserve">BEBIDA LONCOLECHE VEGETAL ALMENDRA 6X1LT</t>
  </si>
  <si>
    <t xml:space="preserve">LECHE S/LACT CHOC LONCO 30X200ML</t>
  </si>
  <si>
    <t xml:space="preserve">NECTAR WATTS PIÑA LIGHT 30X200ML</t>
  </si>
  <si>
    <t xml:space="preserve">BREAK CAPPUCCINO LONCO 18X250ML</t>
  </si>
  <si>
    <t xml:space="preserve">YOGU YOGU CHIRIMOYA 30X200GR</t>
  </si>
  <si>
    <t xml:space="preserve">LECHE CHOCOLATE LONCOLECHE 12X1LT</t>
  </si>
  <si>
    <t xml:space="preserve">NECTAR WATTS MANZANA 5X10X115ML</t>
  </si>
  <si>
    <t xml:space="preserve">CREMA LISTA LONCO 30X200ML</t>
  </si>
  <si>
    <t xml:space="preserve">LP LONCO SEMIDESCREMADA 10X760GR</t>
  </si>
  <si>
    <t xml:space="preserve">LECHE POLVO CALO 26% INST 6X1,440KG</t>
  </si>
  <si>
    <t xml:space="preserve">FULL PROTEIN LONCO VAINILLA 18X250ML</t>
  </si>
  <si>
    <t xml:space="preserve">YOGU YOGU DAMASCO 30X200GR</t>
  </si>
  <si>
    <t xml:space="preserve">LS8 L. MOMENTS CAPUCHINO 12X1LT</t>
  </si>
  <si>
    <t xml:space="preserve">LECHE PLATANO LONCOLECHE 12X1LT</t>
  </si>
  <si>
    <t xml:space="preserve">LP LONCO DESCREMADA 20X760GR</t>
  </si>
  <si>
    <t xml:space="preserve">NECTAR WATTS DURAZNO 5X10X115ML</t>
  </si>
  <si>
    <t xml:space="preserve">JUGO 100% FRUTA WATTS NRJA-MZNA 30X200ML</t>
  </si>
  <si>
    <t xml:space="preserve">L POLVO LONCO S/LACT 10X800GR</t>
  </si>
  <si>
    <t xml:space="preserve">JUGO 100% FRUTA LV WATTS MZNA 30X200ML</t>
  </si>
  <si>
    <t xml:space="preserve">YOGU YOGU ORIGINAL MORA LV 12x1LT</t>
  </si>
  <si>
    <t xml:space="preserve">LECHE VAINILLA LONCO  12X1 LT</t>
  </si>
  <si>
    <t xml:space="preserve">LECHE LCO S/LACTOSA CHOCO 12X1LT</t>
  </si>
  <si>
    <t xml:space="preserve">LECHE LONCO EXTRAPROTEIN 18X200ML</t>
  </si>
  <si>
    <t xml:space="preserve">CREMA BATIR LONCO 12X500ML</t>
  </si>
  <si>
    <t xml:space="preserve">LECHE LCO SEMI S/LACTOS 5X6X200ML</t>
  </si>
  <si>
    <t xml:space="preserve">LECHE S/LACT EXTRA CALCIO 12X1LT</t>
  </si>
  <si>
    <t xml:space="preserve">BREAK CARAMEL LONCO 18X250ML</t>
  </si>
  <si>
    <t xml:space="preserve">FULL PRO CAPPUCCINO LONCOLECHE 18X250ML</t>
  </si>
  <si>
    <t xml:space="preserve">CAPPUCCINO LONCOLECHE 12X1LT</t>
  </si>
  <si>
    <t xml:space="preserve">LECHE VAINILLA 30X200ML</t>
  </si>
  <si>
    <t xml:space="preserve">NECTAR WATT'S MANZANA 12X1LT</t>
  </si>
  <si>
    <t xml:space="preserve">LECHE BON MOMENT DAN CAPPUCCINO 5X6X200ML</t>
  </si>
  <si>
    <t xml:space="preserve">L.UHT MOMENTS MOCA 12X1LT</t>
  </si>
  <si>
    <t xml:space="preserve">NECTAR WATT'S NARANJA 12X1LT</t>
  </si>
  <si>
    <t xml:space="preserve">FULL PROTEIN LONCO CHOCOLATE 18X250</t>
  </si>
  <si>
    <t xml:space="preserve">NECTAR WATTS DAMASCO 5X10X115ML</t>
  </si>
  <si>
    <t xml:space="preserve">YOGU YOGU PINA 30X200GR</t>
  </si>
  <si>
    <t xml:space="preserve">NECTAR WATT'S DURAZNO 12X1LT</t>
  </si>
  <si>
    <t xml:space="preserve">BEBIDA VEGETAL AVENA LCO 6X1LT</t>
  </si>
  <si>
    <t xml:space="preserve">LECHE LCO S/LACTOSA FRUTIL 12X1LT</t>
  </si>
  <si>
    <t xml:space="preserve">SHAKE SHAKE MANJAR 30X190ML</t>
  </si>
  <si>
    <t xml:space="preserve">MANJAR LONCOLECHE DOYPACK 12X750GR</t>
  </si>
  <si>
    <t xml:space="preserve">LECHE POLVO LONCO ENTERA 20X760GR</t>
  </si>
  <si>
    <t xml:space="preserve">BEBIDA LONCOLECHE VEGETAL SOYA 6X1LT</t>
  </si>
  <si>
    <t xml:space="preserve">NECTAR WATT'S PIÑA 12X1LT</t>
  </si>
  <si>
    <t xml:space="preserve">JUGO 100% WATTS TUTTIMANGO LV 30X200ML</t>
  </si>
  <si>
    <t xml:space="preserve">CREMA PARA BATIR LONCO 12X1LT</t>
  </si>
  <si>
    <t xml:space="preserve">LECHE S/LACTOSA VAINILLA 12X1LT</t>
  </si>
  <si>
    <t xml:space="preserve">NECTAR WATTS PROTEINA TROPICAL SIXPACK 18X250ML</t>
  </si>
  <si>
    <t xml:space="preserve">LONCOLECHE BREAK CARAMEL 12X1LT</t>
  </si>
  <si>
    <t xml:space="preserve">LECHE DESC CHOC LIGHT LCO 12X1</t>
  </si>
  <si>
    <t xml:space="preserve">LECHE BON MOMENT DAN MOCACCINO 5X6X200ML</t>
  </si>
  <si>
    <t xml:space="preserve">NECTAR WATTS PROTEINA FRUTOS ROJOS SIXPACK 18X250ML</t>
  </si>
  <si>
    <t xml:space="preserve">LECHE POLVO CALO CRECER 1+ 10X720GR</t>
  </si>
  <si>
    <t xml:space="preserve">YOGU YOGU VAINILLA 30X200GR</t>
  </si>
  <si>
    <t xml:space="preserve">NECTAR WATTS PROBIOTICO MANZANA 5X6X115ML</t>
  </si>
  <si>
    <t xml:space="preserve">LECHE POLVO CALO CRECER 4+ 10X720GR</t>
  </si>
  <si>
    <t xml:space="preserve">SHAKE SHAKE CHOCOLATE 30X190ML</t>
  </si>
  <si>
    <t xml:space="preserve">CREMA LISTA S/LACT LONCO 18X250ML</t>
  </si>
  <si>
    <t xml:space="preserve">LECHE EVAPORADA S/LAC LONCO 30X200ML</t>
  </si>
  <si>
    <t xml:space="preserve">BREAK CHOCO AVELLANA LONCO 18X250ML</t>
  </si>
  <si>
    <t xml:space="preserve">CREMA S/LAC LONCO 500ML</t>
  </si>
  <si>
    <t xml:space="preserve">NECTAR WATTS PROBIOTICO DURAZNO 5X6X115ML</t>
  </si>
  <si>
    <t xml:space="preserve">LECHE CHOCOLATE LONCOLECHE 30X115ML</t>
  </si>
  <si>
    <t xml:space="preserve">JUGO 100% FRUTA LV WATTS NRJA MIX 12X1LT</t>
  </si>
  <si>
    <t xml:space="preserve">LP LONCO EXTRA CALCIO 10X800GR</t>
  </si>
  <si>
    <t xml:space="preserve">LECHE LONCO ENTERA 5X6X200ML</t>
  </si>
  <si>
    <t xml:space="preserve">LECHE POLVO CALO CRECER+1 BOLSA 6X1,35KG</t>
  </si>
  <si>
    <t xml:space="preserve">CREMA S/LACT LONCOLECHE 12X1LT</t>
  </si>
  <si>
    <t xml:space="preserve">CHOCO AVELLANAS LONCO 12X1LT</t>
  </si>
  <si>
    <t xml:space="preserve">LECHE LONCO DESC CHOC 5X6X200ML</t>
  </si>
  <si>
    <t xml:space="preserve">LECHE PLATANO LONCOLECHE 30X115ML</t>
  </si>
  <si>
    <t xml:space="preserve">LECHE LONCO SEMI DESCR 5X6X200ML</t>
  </si>
  <si>
    <t xml:space="preserve">LECHE FRUTILLA LONCO LECHE 30X115ML</t>
  </si>
  <si>
    <t xml:space="preserve">JUGO 100% FRUTA LV WATTS MZNA 12X1LT</t>
  </si>
  <si>
    <t xml:space="preserve">CREMA LISTA LONCO 18X250ML</t>
  </si>
  <si>
    <t xml:space="preserve">LONCO EXT PROT POLVO 14X550GR</t>
  </si>
  <si>
    <t xml:space="preserve">YOGU YOGU MORA 5X6X115ML</t>
  </si>
  <si>
    <t xml:space="preserve">MANJAR EN BARRA LONCOLECHE 120X35GR</t>
  </si>
  <si>
    <t xml:space="preserve">LONCO PROTEIN CHOCOLATE 18X200ML</t>
  </si>
  <si>
    <t xml:space="preserve">LONCO PROTEIN CAPPUCCINO 18X200ML</t>
  </si>
  <si>
    <t xml:space="preserve">YOGU YOGU FRUTILLA 5X6X115 ML</t>
  </si>
  <si>
    <t xml:space="preserve">LECHE POLVO SUPER CALO 20X850GR</t>
  </si>
  <si>
    <t xml:space="preserve">BON MOMENT MOCACCINO 18X200ML</t>
  </si>
  <si>
    <t xml:space="preserve">LP CALO CRECER 1+ 10X800GR</t>
  </si>
  <si>
    <t xml:space="preserve">NECTAR W DSCO SIXPACK 30X200ML</t>
  </si>
  <si>
    <t xml:space="preserve">SHAKE SHAKE MANJAR 30X170ML</t>
  </si>
  <si>
    <t xml:space="preserve">LECHE POLVO 0% CALO 20X800GR</t>
  </si>
  <si>
    <t xml:space="preserve">CALO CRECER +1 BL 6X1,5KG</t>
  </si>
  <si>
    <t xml:space="preserve">NECTAR WATT'S NARANJA 30X200ML</t>
  </si>
  <si>
    <t xml:space="preserve">LECHE REGIMEL DESCR 30X200ML</t>
  </si>
  <si>
    <t xml:space="preserve">LP CALO CRECER 4+ 10X800GR</t>
  </si>
  <si>
    <t xml:space="preserve">LECHE REGIMEL CHOCOLATE 30X200ML</t>
  </si>
  <si>
    <t xml:space="preserve">ALIMEN SOYA LIQUIDO NATU 12X1LT</t>
  </si>
  <si>
    <t xml:space="preserve">LONCOLECHE BREAK CARAME 18X330ML</t>
  </si>
  <si>
    <t xml:space="preserve">LONCO PROTEIN MILK CAPP 18X330ML</t>
  </si>
  <si>
    <t xml:space="preserve">BEBIDA LONCOLECHE AVENA CHOCOLATE 6X1LT</t>
  </si>
  <si>
    <t xml:space="preserve">NECTAR WATTS DURAZNO SIXPACK 5X6X115ML</t>
  </si>
  <si>
    <t xml:space="preserve">ALIMENTO LIQUIDO ALMENDRA NATURAL 12X1LT</t>
  </si>
  <si>
    <t xml:space="preserve">BON MOMENT CAPPUCCINO 18X200ML</t>
  </si>
  <si>
    <t xml:space="preserve">CREMA VEGETAL LCO SOYA TTP24X200</t>
  </si>
  <si>
    <t xml:space="preserve">JUGO 100% FRUTA LV WATTS NRJA 12X1LT</t>
  </si>
  <si>
    <t xml:space="preserve">NECTAR WATTS MANZANA SIXPACK 5X6X115ML</t>
  </si>
  <si>
    <t xml:space="preserve">NECTAR WATTS DAMASCO SIXPACK 5X6X115ML</t>
  </si>
  <si>
    <t xml:space="preserve">Segmentación ABC (volumen) / XYZ (variabilidad) — pedidos S36 a S41 — Grupo Lacteos Y Jugos</t>
  </si>
  <si>
    <t xml:space="preserve">Todo se calcula con fórmulas desde Datos_Semanales y Parametros. Filtra la columna Segmento para ver tu lista de foco (AY, AZ, BZ).</t>
  </si>
  <si>
    <t xml:space="preserve">Total pedido 6 sem (kg)</t>
  </si>
  <si>
    <t xml:space="preserve">Promedio sem (kg)</t>
  </si>
  <si>
    <t xml:space="preserve">Desv. estándar (kg)</t>
  </si>
  <si>
    <t xml:space="preserve">% del volumen</t>
  </si>
  <si>
    <t xml:space="preserve">% acumulado</t>
  </si>
  <si>
    <t xml:space="preserve">ABC</t>
  </si>
  <si>
    <t xml:space="preserve">Revisión</t>
  </si>
  <si>
    <t xml:space="preserve">FCST 6 sem (kg)</t>
  </si>
  <si>
    <t xml:space="preserve">WMAPE forecast</t>
  </si>
  <si>
    <t xml:space="preserve">Sesgo (Bias)</t>
  </si>
  <si>
    <t xml:space="preserve">Error forecast RMSE (kg/sem)</t>
  </si>
  <si>
    <t xml:space="preserve">N° SKU</t>
  </si>
  <si>
    <t xml:space="preserve">X</t>
  </si>
  <si>
    <t xml:space="preserve">Y</t>
  </si>
  <si>
    <t xml:space="preserve">Z</t>
  </si>
  <si>
    <t xml:space="preserve">A</t>
  </si>
  <si>
    <t xml:space="preserve">Total</t>
  </si>
  <si>
    <t xml:space="preserve">B</t>
  </si>
  <si>
    <t xml:space="preserve">C</t>
  </si>
  <si>
    <t xml:space="preserve">Interpretación: la fila A concentra el 80% del volumen. La columna Z son los SKU erráticos. AZ + AY + BZ = tu lista de foco.</t>
  </si>
  <si>
    <t xml:space="preserve">Stock de seguridad calculado — SS = Z × σ × √(Lead time), con techo por vida útil — Grupo Lacteos Y Jugos</t>
  </si>
  <si>
    <t xml:space="preserve">σ = error del forecast (RMSE semanal Solicitado vs FCST): es lo que el SS debe cubrir. Techo VU: el stock objetivo no puede superar lo que se vende antes de llegar al filtro de la cadena más exigente.</t>
  </si>
  <si>
    <t xml:space="preserve">Planta</t>
  </si>
  <si>
    <t xml:space="preserve">Tipo</t>
  </si>
  <si>
    <t xml:space="preserve">FCST sem (kg)</t>
  </si>
  <si>
    <t xml:space="preserve">σ error (kg/sem)</t>
  </si>
  <si>
    <t xml:space="preserve">SS teórico (kg)</t>
  </si>
  <si>
    <t xml:space="preserve">VU interna (días)</t>
  </si>
  <si>
    <t xml:space="preserve">Tope avance cadena exigente</t>
  </si>
  <si>
    <t xml:space="preserve">Cadena exigente</t>
  </si>
  <si>
    <t xml:space="preserve">Semanas vendibles</t>
  </si>
  <si>
    <t xml:space="preserve">Stock máx. vendible (kg)</t>
  </si>
  <si>
    <t xml:space="preserve">Punto de reorden (kg)</t>
  </si>
  <si>
    <t xml:space="preserve">Disp+XLIB (kg)</t>
  </si>
  <si>
    <t xml:space="preserve">Estado</t>
  </si>
  <si>
    <t xml:space="preserve">LECHE BLANCA LONCO ENTERA BASE 12X1LT</t>
  </si>
  <si>
    <t xml:space="preserve">OSORNO</t>
  </si>
  <si>
    <t xml:space="preserve">ABARROTES</t>
  </si>
  <si>
    <t xml:space="preserve">CENCOSUD CENTRAL</t>
  </si>
  <si>
    <t xml:space="preserve">LECHE  LONCO ENTERA S/LAC NAT 12X1LT</t>
  </si>
  <si>
    <t xml:space="preserve">LECHE LONCO SEMIDESCREMADA S/LACT 12X1LT</t>
  </si>
  <si>
    <t xml:space="preserve">LECHE LONCO DESC S/LACTOSA 12X1LT</t>
  </si>
  <si>
    <t xml:space="preserve">LECHE BLANCA LONCO SEMI BASE 12X1LT</t>
  </si>
  <si>
    <t xml:space="preserve">NECTAR WATTS DZNO SIXPACK 30X200ML</t>
  </si>
  <si>
    <t xml:space="preserve">LONQUEN</t>
  </si>
  <si>
    <t xml:space="preserve">WALMART</t>
  </si>
  <si>
    <t xml:space="preserve">LECHE BLANCA LONCO DESC BASE 12X1LT</t>
  </si>
  <si>
    <t xml:space="preserve">NECTAR WATTS PIÑA SIXPACK 30X200ML</t>
  </si>
  <si>
    <t xml:space="preserve">NECTAR WATTS MZNA SIXPACK 30X200ML</t>
  </si>
  <si>
    <t xml:space="preserve">NECTAR WATTS NJA SIXPACK 30X200ML</t>
  </si>
  <si>
    <t xml:space="preserve">LECHE LONCO EXTRA PROTEINA 12X1LT</t>
  </si>
  <si>
    <t xml:space="preserve">LECHE LONCO PROTEIN MILK CAPP 12X1LT</t>
  </si>
  <si>
    <t xml:space="preserve">NECTAR WATTS TUTTIFLLA SIXPACK 30X200ML</t>
  </si>
  <si>
    <t xml:space="preserve">LECHE LONCO FRUTILLA 30X200ML</t>
  </si>
  <si>
    <t xml:space="preserve">LECHE LONCO PROTEIN MILK CHOCO 12X1LT</t>
  </si>
  <si>
    <t xml:space="preserve">NECTAR WATTS NJA LIGHT SIXPACK 30X200ML</t>
  </si>
  <si>
    <t xml:space="preserve">NECTAR WATTS DZNO S/A 30X200ML</t>
  </si>
  <si>
    <t xml:space="preserve">LECHE POLVO CALO ENTERA INST 20X850GR</t>
  </si>
  <si>
    <t xml:space="preserve">UNIMARC CENTRAL</t>
  </si>
  <si>
    <t xml:space="preserve">LECHE MOMENTS CAPUCHINO 12X1LT</t>
  </si>
  <si>
    <t xml:space="preserve">LECHE BREAK CAPPUCCINO LONCO 18X250ML</t>
  </si>
  <si>
    <t xml:space="preserve">LECHE LONCO SEMI S/LACTOSA 5X6X200ML</t>
  </si>
  <si>
    <t xml:space="preserve">LECHE LONCO PROTEIN DESCREMADA 30X200ML</t>
  </si>
  <si>
    <t xml:space="preserve">LECHE FULL LONCO PROTEIN VLLA 18X250ML</t>
  </si>
  <si>
    <t xml:space="preserve">JUGO 100% WATTS NRJA-MZNA LV 30X200ML</t>
  </si>
  <si>
    <t xml:space="preserve">LECHE POLVO LONCO DESCREMADA 20X760GR</t>
  </si>
  <si>
    <t xml:space="preserve">LECHE LONCO S/LACTOSA CHOCO 12X1LT</t>
  </si>
  <si>
    <t xml:space="preserve">JUGO 100% WATTS MZNA LV 30X200ML</t>
  </si>
  <si>
    <t xml:space="preserve">MANJAR LONCOLECHE DP 12X750GR</t>
  </si>
  <si>
    <t xml:space="preserve">LECHE POLVO LONCO SEMIDESCREMADA10X760GR</t>
  </si>
  <si>
    <t xml:space="preserve">LECHE POLVO LONCO S/LACT 10X800GR</t>
  </si>
  <si>
    <t xml:space="preserve">LECHE POLVO CALO ENTERA INST 6X1,440KG</t>
  </si>
  <si>
    <t xml:space="preserve">LECHE EN POLVO ENTERA LONCO 20X760GR</t>
  </si>
  <si>
    <t xml:space="preserve">NECTAR WATTS NARANJA 12X1LT</t>
  </si>
  <si>
    <t xml:space="preserve">BEBIDA VEGETAL LONCO AVENA LCO 6X1LT</t>
  </si>
  <si>
    <t xml:space="preserve">COMPRAS</t>
  </si>
  <si>
    <t xml:space="preserve">UNIMARC SALAS</t>
  </si>
  <si>
    <t xml:space="preserve">LECHE VAINILLA LONCOLECHE 12X1LT</t>
  </si>
  <si>
    <t xml:space="preserve">LECHE LONCO FULL PROTEIN CHOCOLATE18X250</t>
  </si>
  <si>
    <t xml:space="preserve">LECHE BREAK CARAMEL LONCO 18X250ML</t>
  </si>
  <si>
    <t xml:space="preserve">LECHE FULL PRO CAPPUCCINO LONCO 18X250ML</t>
  </si>
  <si>
    <t xml:space="preserve">LECHE LONCOLECHE BREAK CARAMEL 12X1LT</t>
  </si>
  <si>
    <t xml:space="preserve">NECTAR WATTS DURAZNO 12X1LT</t>
  </si>
  <si>
    <t xml:space="preserve">CREMA BATIR LONCO 12X1LT</t>
  </si>
  <si>
    <t xml:space="preserve">NECTAR WATTS MANZANA 12X1LT</t>
  </si>
  <si>
    <t xml:space="preserve">CREMA S/L LISTA LONCO 18X250ML</t>
  </si>
  <si>
    <t xml:space="preserve">NECTAR WATTS PIÑA 12X1LT</t>
  </si>
  <si>
    <t xml:space="preserve">LECHE BON MOMENT DAN CAPPUCCINO 30X200ML</t>
  </si>
  <si>
    <t xml:space="preserve">LECHE LONCO S/LACTOSA FRUTILLA 12X1LT</t>
  </si>
  <si>
    <t xml:space="preserve">LECHE BON MOMENT DAN MOCACCINO 30X200ML</t>
  </si>
  <si>
    <t xml:space="preserve">JUGO 100% WATTS NRJA MIX LV 12X1LT</t>
  </si>
  <si>
    <t xml:space="preserve">LECHE UHT MOMENTS MOCA 12X1LT</t>
  </si>
  <si>
    <t xml:space="preserve">NECTAR C/PROBIOTICOS WATTS MZN 5X6X115ML</t>
  </si>
  <si>
    <t xml:space="preserve">NECTAR C/PROBIOTICO WATTS DZNO 5X6X115ML</t>
  </si>
  <si>
    <t xml:space="preserve">LECHE DESC LIGHT CHOC LONCOLECHE 12X1LT</t>
  </si>
  <si>
    <t xml:space="preserve">NECTAR WATTS PROTEINA TROPICAL 18X250ML</t>
  </si>
  <si>
    <t xml:space="preserve">LECHE BREAK CHOCO AVELLANA LONCO18X250ML</t>
  </si>
  <si>
    <t xml:space="preserve">LECHE POLVO EXTRA CALCIO LONCO 10X800GR</t>
  </si>
  <si>
    <t xml:space="preserve">JUMBO SALAS</t>
  </si>
  <si>
    <t xml:space="preserve">NECTAR WTS PROTEIN CIRU-BERRIES 18X250ML</t>
  </si>
  <si>
    <t xml:space="preserve">JUGO 100% WATTS MZNA LV 12X1LT</t>
  </si>
  <si>
    <t xml:space="preserve">CREMA S/L BATIR LONCO 12X500ML</t>
  </si>
  <si>
    <t xml:space="preserve">LECHE POLVO LONCO PROTEIN 14X550GR</t>
  </si>
  <si>
    <t xml:space="preserve">LECHE CHOCO AVELLANAS LONCO 12X1LT</t>
  </si>
  <si>
    <t xml:space="preserve">LECHE LONCO PROTEIN CAPPUCCINO 18X200ML</t>
  </si>
  <si>
    <t xml:space="preserve">MAQUILA</t>
  </si>
  <si>
    <t xml:space="preserve">LECHE LONCO PROTEIN CHOCOLATE 18X200ML</t>
  </si>
  <si>
    <t xml:space="preserve">LECHE POLVO CALO CRECER 4+ 10X800GR</t>
  </si>
  <si>
    <t xml:space="preserve">LECHE POLVO CALO CRECER 1+ 10X800GR</t>
  </si>
  <si>
    <t xml:space="preserve">LECHE POLVO CALO CRECER+1 BOLSA 6X1,5KG</t>
  </si>
  <si>
    <t xml:space="preserve">REFRIGERADO</t>
  </si>
  <si>
    <t xml:space="preserve">Pedidos por cadena vs FCST — últimas 4 semanas completas (S38 a S41) — Grupo Lacteos Y Jugos</t>
  </si>
  <si>
    <t xml:space="preserve">Resumen por cadena arriba; detalle SKU × cadena abajo (filtra la columna Alerta).</t>
  </si>
  <si>
    <t xml:space="preserve">Cadena</t>
  </si>
  <si>
    <t xml:space="preserve">Solicitado (kg)</t>
  </si>
  <si>
    <t xml:space="preserve">FCST (kg)</t>
  </si>
  <si>
    <t xml:space="preserve">Desviación (kg)</t>
  </si>
  <si>
    <t xml:space="preserve">Desviación %</t>
  </si>
  <si>
    <t xml:space="preserve">Ranking volumen pedido</t>
  </si>
  <si>
    <t xml:space="preserve">Ranking desviación |%|</t>
  </si>
  <si>
    <t xml:space="preserve">N° SKU con alerta</t>
  </si>
  <si>
    <t xml:space="preserve">Alvi</t>
  </si>
  <si>
    <t xml:space="preserve">Canal Tradicional</t>
  </si>
  <si>
    <t xml:space="preserve">Ccu</t>
  </si>
  <si>
    <t xml:space="preserve">Cencosud</t>
  </si>
  <si>
    <t xml:space="preserve">Industrial Y Food Service</t>
  </si>
  <si>
    <t xml:space="preserve">Supermercados Region</t>
  </si>
  <si>
    <t xml:space="preserve">Tottus</t>
  </si>
  <si>
    <t xml:space="preserve">Unimarc</t>
  </si>
  <si>
    <t xml:space="preserve">Walmart</t>
  </si>
  <si>
    <t xml:space="preserve">TOTAL</t>
  </si>
  <si>
    <t xml:space="preserve">Alerta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</si>
</sst>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-#,##0;\-"/>
    <numFmt numFmtId="166" formatCode="0.00"/>
    <numFmt numFmtId="167" formatCode="0.0%;\-0.0%;\-"/>
    <numFmt numFmtId="168" formatCode="0"/>
    <numFmt numFmtId="169" formatCode="0.0"/>
    <numFmt numFmtId="170" formatCode="General"/>
    <numFmt numFmtId="171" formatCode="dd\-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001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4444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C8001E"/>
        <bgColor rgb="FFC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C800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C8001E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3" t="s">
        <v>10</v>
      </c>
    </row>
    <row r="15" customFormat="false" ht="15" hidden="false" customHeight="false" outlineLevel="0" collapsed="false"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  <c r="K15" s="5" t="s">
        <v>20</v>
      </c>
      <c r="L15" s="5" t="s">
        <v>21</v>
      </c>
    </row>
    <row r="16" customFormat="false" ht="15" hidden="false" customHeight="false" outlineLevel="0" collapsed="false">
      <c r="B16" s="3" t="s">
        <v>22</v>
      </c>
      <c r="C16" s="6" t="n">
        <v>10000</v>
      </c>
      <c r="D16" s="6" t="n">
        <v>10400</v>
      </c>
      <c r="E16" s="6" t="n">
        <v>9800</v>
      </c>
      <c r="F16" s="6" t="n">
        <v>10200</v>
      </c>
      <c r="G16" s="6" t="n">
        <v>9900</v>
      </c>
      <c r="H16" s="6" t="n">
        <v>10100</v>
      </c>
      <c r="I16" s="7" t="n">
        <f aca="false">AVERAGE(C16:H16)</f>
        <v>10066.6666666667</v>
      </c>
      <c r="J16" s="7" t="n">
        <f aca="false">STDEV(C16:H16)</f>
        <v>216.024689946929</v>
      </c>
      <c r="K16" s="8" t="n">
        <f aca="false">J16/I16</f>
        <v>0.0214594062861187</v>
      </c>
      <c r="L16" s="9" t="str">
        <f aca="false">IF(K16&lt;=Parametros!$B$6,"X",IF(K16&lt;=Parametros!$B$7,"Y","Z"))</f>
        <v>X</v>
      </c>
    </row>
    <row r="17" customFormat="false" ht="15" hidden="false" customHeight="false" outlineLevel="0" collapsed="false">
      <c r="B17" s="3" t="s">
        <v>23</v>
      </c>
      <c r="C17" s="6" t="n">
        <v>1500</v>
      </c>
      <c r="D17" s="6" t="n">
        <v>5200</v>
      </c>
      <c r="E17" s="6" t="n">
        <v>1000</v>
      </c>
      <c r="F17" s="6" t="n">
        <v>4800</v>
      </c>
      <c r="G17" s="6" t="n">
        <v>900</v>
      </c>
      <c r="H17" s="6" t="n">
        <v>3500</v>
      </c>
      <c r="I17" s="7" t="n">
        <f aca="false">AVERAGE(C17:H17)</f>
        <v>2816.66666666667</v>
      </c>
      <c r="J17" s="7" t="n">
        <f aca="false">STDEV(C17:H17)</f>
        <v>1938.47018720089</v>
      </c>
      <c r="K17" s="8" t="n">
        <f aca="false">J17/I17</f>
        <v>0.688214267645288</v>
      </c>
      <c r="L17" s="9" t="str">
        <f aca="false">IF(K17&lt;=Parametros!$B$6,"X",IF(K17&lt;=Parametros!$B$7,"Y","Z"))</f>
        <v>Y</v>
      </c>
    </row>
    <row r="18" customFormat="false" ht="15" hidden="false" customHeight="false" outlineLevel="0" collapsed="false">
      <c r="B18" s="3" t="s">
        <v>24</v>
      </c>
      <c r="C18" s="6" t="n">
        <v>200</v>
      </c>
      <c r="D18" s="6" t="n">
        <v>1500</v>
      </c>
      <c r="E18" s="6" t="n">
        <v>0</v>
      </c>
      <c r="F18" s="6" t="n">
        <v>900</v>
      </c>
      <c r="G18" s="6" t="n">
        <v>50</v>
      </c>
      <c r="H18" s="6" t="n">
        <v>1800</v>
      </c>
      <c r="I18" s="7" t="n">
        <f aca="false">AVERAGE(C18:H18)</f>
        <v>741.666666666667</v>
      </c>
      <c r="J18" s="7" t="n">
        <f aca="false">STDEV(C18:H18)</f>
        <v>780.010683687516</v>
      </c>
      <c r="K18" s="8" t="n">
        <f aca="false">J18/I18</f>
        <v>1.05169979823036</v>
      </c>
      <c r="L18" s="9" t="str">
        <f aca="false">IF(K18&lt;=Parametros!$B$6,"X",IF(K18&lt;=Parametros!$B$7,"Y","Z"))</f>
        <v>Z</v>
      </c>
    </row>
    <row r="20" customFormat="false" ht="15" hidden="false" customHeight="false" outlineLevel="0" collapsed="false">
      <c r="B20" s="3" t="s">
        <v>25</v>
      </c>
    </row>
    <row r="21" customFormat="false" ht="15" hidden="false" customHeight="false" outlineLevel="0" collapsed="false">
      <c r="B21" s="3" t="s">
        <v>26</v>
      </c>
    </row>
    <row r="22" customFormat="false" ht="15" hidden="false" customHeight="false" outlineLevel="0" collapsed="false">
      <c r="B22" s="3" t="s">
        <v>27</v>
      </c>
    </row>
    <row r="23" customFormat="false" ht="15" hidden="false" customHeight="false" outlineLevel="0" collapsed="false">
      <c r="B23" s="3" t="s">
        <v>28</v>
      </c>
    </row>
    <row r="24" customFormat="false" ht="15" hidden="false" customHeight="false" outlineLevel="0" collapsed="false">
      <c r="B24" s="3" t="s">
        <v>29</v>
      </c>
    </row>
    <row r="25" customFormat="false" ht="15" hidden="false" customHeight="false" outlineLevel="0" collapsed="false">
      <c r="B25" s="3" t="s">
        <v>30</v>
      </c>
    </row>
    <row r="27" customFormat="false" ht="15" hidden="false" customHeight="false" outlineLevel="0" collapsed="false">
      <c r="B27" s="4" t="s">
        <v>31</v>
      </c>
    </row>
    <row r="28" customFormat="false" ht="15" hidden="false" customHeight="false" outlineLevel="0" collapsed="false">
      <c r="B28" s="3" t="s">
        <v>32</v>
      </c>
    </row>
    <row r="30" customFormat="false" ht="15" hidden="false" customHeight="false" outlineLevel="0" collapsed="false">
      <c r="B30" s="3" t="s">
        <v>33</v>
      </c>
      <c r="D30" s="6" t="n">
        <v>10000</v>
      </c>
    </row>
    <row r="31" customFormat="false" ht="15" hidden="false" customHeight="false" outlineLevel="0" collapsed="false">
      <c r="B31" s="3" t="s">
        <v>34</v>
      </c>
      <c r="D31" s="6" t="n">
        <v>2000</v>
      </c>
    </row>
    <row r="32" customFormat="false" ht="15" hidden="false" customHeight="false" outlineLevel="0" collapsed="false">
      <c r="B32" s="3" t="s">
        <v>35</v>
      </c>
      <c r="D32" s="10" t="n">
        <v>2</v>
      </c>
    </row>
    <row r="33" customFormat="false" ht="15" hidden="false" customHeight="false" outlineLevel="0" collapsed="false">
      <c r="B33" s="3" t="s">
        <v>36</v>
      </c>
      <c r="D33" s="11" t="n">
        <v>0.98</v>
      </c>
    </row>
    <row r="34" customFormat="false" ht="15" hidden="false" customHeight="false" outlineLevel="0" collapsed="false">
      <c r="B34" s="3" t="s">
        <v>37</v>
      </c>
      <c r="D34" s="8" t="n">
        <f aca="false">NORMSINV(D33)</f>
        <v>2.05374891063182</v>
      </c>
    </row>
    <row r="35" customFormat="false" ht="15" hidden="false" customHeight="false" outlineLevel="0" collapsed="false">
      <c r="B35" s="3" t="s">
        <v>38</v>
      </c>
      <c r="D35" s="7" t="n">
        <f aca="false">D34*D31*SQRT(D32)</f>
        <v>5808.87912624899</v>
      </c>
    </row>
    <row r="36" customFormat="false" ht="15" hidden="false" customHeight="false" outlineLevel="0" collapsed="false">
      <c r="B36" s="3" t="s">
        <v>39</v>
      </c>
      <c r="D36" s="7" t="n">
        <f aca="false">D35+D30*D32</f>
        <v>25808.879126249</v>
      </c>
    </row>
    <row r="37" customFormat="false" ht="15" hidden="false" customHeight="false" outlineLevel="0" collapsed="false">
      <c r="B37" s="3" t="s">
        <v>40</v>
      </c>
      <c r="D37" s="12" t="n">
        <v>50</v>
      </c>
    </row>
    <row r="38" customFormat="false" ht="15" hidden="false" customHeight="false" outlineLevel="0" collapsed="false">
      <c r="B38" s="3" t="s">
        <v>41</v>
      </c>
      <c r="D38" s="11" t="n">
        <v>0.35</v>
      </c>
    </row>
    <row r="39" customFormat="false" ht="15" hidden="false" customHeight="false" outlineLevel="0" collapsed="false">
      <c r="B39" s="3" t="s">
        <v>42</v>
      </c>
      <c r="D39" s="13" t="n">
        <f aca="false">D37*D38/7</f>
        <v>2.5</v>
      </c>
    </row>
    <row r="40" customFormat="false" ht="15" hidden="false" customHeight="false" outlineLevel="0" collapsed="false">
      <c r="B40" s="3" t="s">
        <v>43</v>
      </c>
      <c r="D40" s="7" t="n">
        <f aca="false">D30*D39</f>
        <v>25000</v>
      </c>
    </row>
    <row r="41" customFormat="false" ht="15" hidden="false" customHeight="false" outlineLevel="0" collapsed="false">
      <c r="B41" s="3" t="s">
        <v>44</v>
      </c>
      <c r="D41" s="7" t="n">
        <f aca="false">MAX(0,MIN(D35,D40-D30*D32))</f>
        <v>5000</v>
      </c>
    </row>
    <row r="43" customFormat="false" ht="15" hidden="false" customHeight="false" outlineLevel="0" collapsed="false">
      <c r="B43" s="3" t="s">
        <v>45</v>
      </c>
    </row>
    <row r="44" customFormat="false" ht="15" hidden="false" customHeight="false" outlineLevel="0" collapsed="false">
      <c r="B44" s="3" t="s">
        <v>46</v>
      </c>
    </row>
    <row r="45" customFormat="false" ht="15" hidden="false" customHeight="false" outlineLevel="0" collapsed="false">
      <c r="B45" s="3" t="s">
        <v>47</v>
      </c>
    </row>
    <row r="46" customFormat="false" ht="15" hidden="false" customHeight="false" outlineLevel="0" collapsed="false">
      <c r="B46" s="3" t="s">
        <v>48</v>
      </c>
    </row>
    <row r="48" customFormat="false" ht="15" hidden="false" customHeight="false" outlineLevel="0" collapsed="false">
      <c r="B48" s="4" t="s">
        <v>49</v>
      </c>
    </row>
    <row r="49" customFormat="false" ht="15" hidden="false" customHeight="false" outlineLevel="0" collapsed="false">
      <c r="B49" s="3" t="s">
        <v>50</v>
      </c>
    </row>
    <row r="50" customFormat="false" ht="15" hidden="false" customHeight="false" outlineLevel="0" collapsed="false">
      <c r="B50" s="3" t="s">
        <v>51</v>
      </c>
    </row>
    <row r="51" customFormat="false" ht="15" hidden="false" customHeight="false" outlineLevel="0" collapsed="false">
      <c r="B51" s="3" t="s">
        <v>52</v>
      </c>
    </row>
    <row r="52" customFormat="false" ht="15" hidden="false" customHeight="false" outlineLevel="0" collapsed="false">
      <c r="B52" s="3" t="s">
        <v>53</v>
      </c>
    </row>
    <row r="53" customFormat="false" ht="15" hidden="false" customHeight="false" outlineLevel="0" collapsed="false">
      <c r="B53" s="3" t="s">
        <v>54</v>
      </c>
    </row>
    <row r="54" customFormat="false" ht="15" hidden="false" customHeight="false" outlineLevel="0" collapsed="false">
      <c r="B54" s="3" t="s">
        <v>55</v>
      </c>
    </row>
    <row r="55" customFormat="false" ht="15" hidden="false" customHeight="false" outlineLevel="0" collapsed="false">
      <c r="B55" s="3" t="s">
        <v>56</v>
      </c>
    </row>
    <row r="56" customFormat="false" ht="15" hidden="false" customHeight="false" outlineLevel="0" collapsed="false">
      <c r="B56" s="3" t="s">
        <v>57</v>
      </c>
    </row>
    <row r="57" customFormat="false" ht="15" hidden="false" customHeight="false" outlineLevel="0" collapsed="false">
      <c r="B57" s="3" t="s">
        <v>58</v>
      </c>
    </row>
    <row r="58" customFormat="false" ht="15" hidden="false" customHeight="false" outlineLevel="0" collapsed="false">
      <c r="B58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60</v>
      </c>
    </row>
    <row r="3" customFormat="false" ht="42" hidden="false" customHeight="true" outlineLevel="0" collapsed="false">
      <c r="A3" s="14" t="s">
        <v>61</v>
      </c>
      <c r="B3" s="14" t="s">
        <v>62</v>
      </c>
      <c r="C3" s="14" t="s">
        <v>63</v>
      </c>
    </row>
    <row r="4" customFormat="false" ht="15" hidden="false" customHeight="false" outlineLevel="0" collapsed="false">
      <c r="A4" s="3" t="s">
        <v>64</v>
      </c>
      <c r="B4" s="11" t="n">
        <v>0.8</v>
      </c>
      <c r="C4" s="3" t="s">
        <v>65</v>
      </c>
    </row>
    <row r="5" customFormat="false" ht="15" hidden="false" customHeight="false" outlineLevel="0" collapsed="false">
      <c r="A5" s="3" t="s">
        <v>66</v>
      </c>
      <c r="B5" s="11" t="n">
        <v>0.95</v>
      </c>
      <c r="C5" s="3" t="s">
        <v>67</v>
      </c>
    </row>
    <row r="6" customFormat="false" ht="15" hidden="false" customHeight="false" outlineLevel="0" collapsed="false">
      <c r="A6" s="3" t="s">
        <v>68</v>
      </c>
      <c r="B6" s="10" t="n">
        <v>0.5</v>
      </c>
      <c r="C6" s="3" t="s">
        <v>69</v>
      </c>
    </row>
    <row r="7" customFormat="false" ht="15" hidden="false" customHeight="false" outlineLevel="0" collapsed="false">
      <c r="A7" s="3" t="s">
        <v>70</v>
      </c>
      <c r="B7" s="10" t="n">
        <v>1</v>
      </c>
      <c r="C7" s="3" t="s">
        <v>71</v>
      </c>
    </row>
    <row r="8" customFormat="false" ht="15" hidden="false" customHeight="false" outlineLevel="0" collapsed="false">
      <c r="A8" s="3" t="s">
        <v>72</v>
      </c>
      <c r="B8" s="11" t="n">
        <v>0.98</v>
      </c>
      <c r="C8" s="3" t="s">
        <v>73</v>
      </c>
    </row>
    <row r="9" customFormat="false" ht="15" hidden="false" customHeight="false" outlineLevel="0" collapsed="false">
      <c r="A9" s="3" t="s">
        <v>74</v>
      </c>
      <c r="B9" s="11" t="n">
        <v>0.95</v>
      </c>
      <c r="C9" s="3" t="s">
        <v>75</v>
      </c>
    </row>
    <row r="10" customFormat="false" ht="15" hidden="false" customHeight="false" outlineLevel="0" collapsed="false">
      <c r="A10" s="3" t="s">
        <v>76</v>
      </c>
      <c r="B10" s="11" t="n">
        <v>0.9</v>
      </c>
      <c r="C10" s="3" t="s">
        <v>75</v>
      </c>
    </row>
    <row r="11" customFormat="false" ht="15" hidden="false" customHeight="false" outlineLevel="0" collapsed="false">
      <c r="A11" s="3" t="s">
        <v>77</v>
      </c>
      <c r="B11" s="11" t="n">
        <v>0.95</v>
      </c>
      <c r="C11" s="3" t="s">
        <v>78</v>
      </c>
    </row>
    <row r="12" customFormat="false" ht="15" hidden="false" customHeight="false" outlineLevel="0" collapsed="false">
      <c r="A12" s="3" t="s">
        <v>79</v>
      </c>
      <c r="B12" s="10" t="n">
        <v>1</v>
      </c>
      <c r="C12" s="3" t="s">
        <v>80</v>
      </c>
    </row>
    <row r="13" customFormat="false" ht="15" hidden="false" customHeight="false" outlineLevel="0" collapsed="false">
      <c r="A13" s="3" t="s">
        <v>81</v>
      </c>
      <c r="B13" s="11" t="n">
        <v>0.3</v>
      </c>
      <c r="C13" s="3" t="s">
        <v>82</v>
      </c>
    </row>
    <row r="14" customFormat="false" ht="15" hidden="false" customHeight="false" outlineLevel="0" collapsed="false">
      <c r="A14" s="3" t="s">
        <v>83</v>
      </c>
      <c r="B14" s="11" t="n">
        <v>0.2</v>
      </c>
      <c r="C14" s="3" t="s">
        <v>84</v>
      </c>
    </row>
    <row r="15" customFormat="false" ht="15" hidden="false" customHeight="false" outlineLevel="0" collapsed="false">
      <c r="A15" s="3" t="s">
        <v>85</v>
      </c>
      <c r="B15" s="6" t="n">
        <v>2000</v>
      </c>
      <c r="C15" s="3" t="s">
        <v>86</v>
      </c>
    </row>
    <row r="16" customFormat="false" ht="15" hidden="false" customHeight="false" outlineLevel="0" collapsed="false">
      <c r="A16" s="3" t="s">
        <v>87</v>
      </c>
      <c r="B16" s="6" t="n">
        <v>1000</v>
      </c>
      <c r="C16" s="3" t="s">
        <v>88</v>
      </c>
    </row>
    <row r="17" customFormat="false" ht="15" hidden="false" customHeight="false" outlineLevel="0" collapsed="false">
      <c r="A17" s="3" t="s">
        <v>89</v>
      </c>
      <c r="B17" s="6" t="n">
        <v>500</v>
      </c>
      <c r="C17" s="3" t="s">
        <v>90</v>
      </c>
    </row>
    <row r="18" customFormat="false" ht="15" hidden="false" customHeight="false" outlineLevel="0" collapsed="false">
      <c r="A18" s="3" t="s">
        <v>91</v>
      </c>
      <c r="B18" s="11" t="n">
        <v>0.06</v>
      </c>
      <c r="C18" s="3" t="s">
        <v>92</v>
      </c>
    </row>
    <row r="21" customFormat="false" ht="15" hidden="false" customHeight="false" outlineLevel="0" collapsed="false">
      <c r="A21" s="4" t="s">
        <v>93</v>
      </c>
    </row>
    <row r="22" customFormat="false" ht="42" hidden="false" customHeight="true" outlineLevel="0" collapsed="false">
      <c r="A22" s="15" t="s">
        <v>94</v>
      </c>
      <c r="B22" s="15" t="s">
        <v>95</v>
      </c>
      <c r="C22" s="15" t="s">
        <v>96</v>
      </c>
    </row>
    <row r="23" customFormat="false" ht="57.45" hidden="false" customHeight="false" outlineLevel="0" collapsed="false">
      <c r="A23" s="16" t="s">
        <v>97</v>
      </c>
      <c r="B23" s="17" t="s">
        <v>98</v>
      </c>
      <c r="C23" s="17" t="s">
        <v>99</v>
      </c>
    </row>
    <row r="24" customFormat="false" ht="68.65" hidden="false" customHeight="false" outlineLevel="0" collapsed="false">
      <c r="A24" s="16" t="s">
        <v>100</v>
      </c>
      <c r="B24" s="17" t="s">
        <v>101</v>
      </c>
      <c r="C24" s="17" t="s">
        <v>102</v>
      </c>
    </row>
    <row r="25" customFormat="false" ht="68.65" hidden="false" customHeight="false" outlineLevel="0" collapsed="false">
      <c r="A25" s="16" t="s">
        <v>103</v>
      </c>
      <c r="B25" s="17" t="s">
        <v>104</v>
      </c>
      <c r="C25" s="17" t="s">
        <v>105</v>
      </c>
    </row>
    <row r="26" customFormat="false" ht="23.85" hidden="false" customHeight="false" outlineLevel="0" collapsed="false">
      <c r="A26" s="16" t="s">
        <v>106</v>
      </c>
      <c r="B26" s="17" t="s">
        <v>107</v>
      </c>
      <c r="C26" s="17" t="s">
        <v>99</v>
      </c>
    </row>
    <row r="27" customFormat="false" ht="35.05" hidden="false" customHeight="false" outlineLevel="0" collapsed="false">
      <c r="A27" s="16" t="s">
        <v>108</v>
      </c>
      <c r="B27" s="17" t="s">
        <v>109</v>
      </c>
      <c r="C27" s="17" t="s">
        <v>110</v>
      </c>
    </row>
    <row r="28" customFormat="false" ht="57.45" hidden="false" customHeight="false" outlineLevel="0" collapsed="false">
      <c r="A28" s="16" t="s">
        <v>111</v>
      </c>
      <c r="B28" s="17" t="s">
        <v>112</v>
      </c>
      <c r="C28" s="17" t="s">
        <v>102</v>
      </c>
    </row>
    <row r="29" customFormat="false" ht="23.85" hidden="false" customHeight="false" outlineLevel="0" collapsed="false">
      <c r="A29" s="16" t="s">
        <v>113</v>
      </c>
      <c r="B29" s="17" t="s">
        <v>114</v>
      </c>
      <c r="C29" s="17" t="s">
        <v>115</v>
      </c>
    </row>
    <row r="30" customFormat="false" ht="35.05" hidden="false" customHeight="false" outlineLevel="0" collapsed="false">
      <c r="A30" s="16" t="s">
        <v>116</v>
      </c>
      <c r="B30" s="17" t="s">
        <v>117</v>
      </c>
      <c r="C30" s="17" t="s">
        <v>99</v>
      </c>
    </row>
    <row r="31" customFormat="false" ht="57.45" hidden="false" customHeight="false" outlineLevel="0" collapsed="false">
      <c r="A31" s="16" t="s">
        <v>118</v>
      </c>
      <c r="B31" s="17" t="s">
        <v>119</v>
      </c>
      <c r="C31" s="17" t="s">
        <v>99</v>
      </c>
    </row>
    <row r="34" customFormat="false" ht="15" hidden="false" customHeight="false" outlineLevel="0" collapsed="false">
      <c r="A34" s="4" t="s">
        <v>120</v>
      </c>
    </row>
    <row r="35" customFormat="false" ht="42" hidden="false" customHeight="true" outlineLevel="0" collapsed="false">
      <c r="A35" s="15" t="s">
        <v>121</v>
      </c>
      <c r="B35" s="15" t="s">
        <v>122</v>
      </c>
      <c r="C35" s="15" t="s">
        <v>123</v>
      </c>
    </row>
    <row r="36" customFormat="false" ht="15" hidden="false" customHeight="false" outlineLevel="0" collapsed="false">
      <c r="A36" s="3" t="s">
        <v>124</v>
      </c>
      <c r="B36" s="10" t="n">
        <f aca="false">Parametros!$B$12</f>
        <v>1</v>
      </c>
      <c r="C36" s="3" t="s">
        <v>125</v>
      </c>
    </row>
    <row r="37" customFormat="false" ht="15" hidden="false" customHeight="false" outlineLevel="0" collapsed="false">
      <c r="A37" s="3" t="s">
        <v>126</v>
      </c>
      <c r="B37" s="10" t="n">
        <f aca="false">Parametros!$B$12</f>
        <v>1</v>
      </c>
      <c r="C37" s="3" t="s">
        <v>125</v>
      </c>
    </row>
    <row r="38" customFormat="false" ht="15" hidden="false" customHeight="false" outlineLevel="0" collapsed="false">
      <c r="A38" s="3" t="s">
        <v>127</v>
      </c>
      <c r="B38" s="10" t="n">
        <f aca="false">Parametros!$B$12</f>
        <v>1</v>
      </c>
      <c r="C38" s="3" t="s">
        <v>125</v>
      </c>
    </row>
    <row r="39" customFormat="false" ht="15" hidden="false" customHeight="false" outlineLevel="0" collapsed="false">
      <c r="A39" s="3" t="s">
        <v>128</v>
      </c>
      <c r="B39" s="10" t="n">
        <f aca="false">Parametros!$B$12</f>
        <v>1</v>
      </c>
      <c r="C39" s="3" t="s">
        <v>125</v>
      </c>
    </row>
    <row r="40" customFormat="false" ht="15" hidden="false" customHeight="false" outlineLevel="0" collapsed="false">
      <c r="A40" s="3" t="s">
        <v>129</v>
      </c>
      <c r="B40" s="10" t="n">
        <f aca="false">Parametros!$B$12</f>
        <v>1</v>
      </c>
      <c r="C40" s="3" t="s">
        <v>125</v>
      </c>
    </row>
    <row r="41" customFormat="false" ht="15" hidden="false" customHeight="false" outlineLevel="0" collapsed="false">
      <c r="A41" s="3" t="s">
        <v>130</v>
      </c>
      <c r="B41" s="10" t="n">
        <f aca="false">Parametros!$B$12</f>
        <v>1</v>
      </c>
      <c r="C41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6" min="15" style="0" width="9"/>
    <col collapsed="false" customWidth="true" hidden="false" outlineLevel="0" max="17" min="17" style="0" width="8"/>
    <col collapsed="false" customWidth="true" hidden="false" outlineLevel="0" max="20" min="18" style="0" width="12"/>
    <col collapsed="false" customWidth="true" hidden="false" outlineLevel="0" max="22" min="21" style="0" width="9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7" min="26" style="0" width="8"/>
    <col collapsed="false" customWidth="true" hidden="false" outlineLevel="0" max="28" min="28" style="0" width="9"/>
    <col collapsed="false" customWidth="true" hidden="false" outlineLevel="0" max="29" min="29" style="0" width="95"/>
    <col collapsed="false" customWidth="true" hidden="false" outlineLevel="0" max="31" min="31" style="0" width="34"/>
    <col collapsed="false" customWidth="true" hidden="false" outlineLevel="0" max="32" min="32" style="0" width="1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3" t="s">
        <v>132</v>
      </c>
    </row>
    <row r="4" customFormat="false" ht="42" hidden="false" customHeight="true" outlineLevel="0" collapsed="false">
      <c r="A4" s="14" t="s">
        <v>133</v>
      </c>
      <c r="B4" s="14" t="s">
        <v>134</v>
      </c>
      <c r="C4" s="14" t="s">
        <v>121</v>
      </c>
      <c r="D4" s="14" t="s">
        <v>94</v>
      </c>
      <c r="E4" s="14" t="s">
        <v>135</v>
      </c>
      <c r="F4" s="14" t="s">
        <v>136</v>
      </c>
      <c r="G4" s="14" t="s">
        <v>137</v>
      </c>
      <c r="H4" s="14" t="s">
        <v>138</v>
      </c>
      <c r="I4" s="14" t="s">
        <v>139</v>
      </c>
      <c r="J4" s="14" t="s">
        <v>140</v>
      </c>
      <c r="K4" s="14" t="s">
        <v>141</v>
      </c>
      <c r="L4" s="14" t="s">
        <v>142</v>
      </c>
      <c r="M4" s="14" t="s">
        <v>143</v>
      </c>
      <c r="N4" s="14" t="s">
        <v>144</v>
      </c>
      <c r="O4" s="14" t="s">
        <v>145</v>
      </c>
      <c r="P4" s="14" t="s">
        <v>146</v>
      </c>
      <c r="Q4" s="14" t="s">
        <v>147</v>
      </c>
      <c r="R4" s="14" t="s">
        <v>148</v>
      </c>
      <c r="S4" s="14" t="s">
        <v>149</v>
      </c>
      <c r="T4" s="14" t="s">
        <v>150</v>
      </c>
      <c r="U4" s="14" t="s">
        <v>151</v>
      </c>
      <c r="V4" s="14" t="s">
        <v>152</v>
      </c>
      <c r="W4" s="14" t="s">
        <v>153</v>
      </c>
      <c r="X4" s="14" t="s">
        <v>154</v>
      </c>
      <c r="Y4" s="14" t="s">
        <v>155</v>
      </c>
      <c r="Z4" s="14" t="s">
        <v>156</v>
      </c>
      <c r="AA4" s="14" t="s">
        <v>157</v>
      </c>
      <c r="AB4" s="14" t="s">
        <v>158</v>
      </c>
      <c r="AC4" s="14" t="s">
        <v>159</v>
      </c>
      <c r="AE4" s="2" t="s">
        <v>160</v>
      </c>
    </row>
    <row r="5" customFormat="false" ht="15" hidden="false" customHeight="false" outlineLevel="0" collapsed="false">
      <c r="A5" s="18" t="n">
        <f aca="false">Stock_Seguridad!A5</f>
        <v>30000522</v>
      </c>
      <c r="B5" s="18" t="str">
        <f aca="false">Stock_Seguridad!B5</f>
        <v>LECHE BLANCA LONCO ENTERA BASE 12X1LT</v>
      </c>
      <c r="C5" s="18" t="str">
        <f aca="false">Stock_Seguridad!C5</f>
        <v>LECHES LIQUIDAS</v>
      </c>
      <c r="D5" s="18" t="str">
        <f aca="false">Stock_Seguridad!F5</f>
        <v>AX</v>
      </c>
      <c r="E5" s="19" t="str">
        <f aca="false">Stock_Seguridad!X5</f>
        <v>OK</v>
      </c>
      <c r="F5" s="20" t="n">
        <f aca="false">Stock_Seguridad!W5</f>
        <v>1.66697899416686</v>
      </c>
      <c r="G5" s="21" t="n">
        <f aca="false">Stock_Seguridad!T5</f>
        <v>276372</v>
      </c>
      <c r="H5" s="21" t="n">
        <f aca="false">Stock_Seguridad!R5</f>
        <v>203849.724196651</v>
      </c>
      <c r="I5" s="21" t="n">
        <f aca="false">Stock_Seguridad!S5</f>
        <v>530963.624196651</v>
      </c>
      <c r="J5" s="21" t="n">
        <f aca="false">Stock_Seguridad!U5</f>
        <v>268920</v>
      </c>
      <c r="K5" s="22" t="n">
        <v>46321</v>
      </c>
      <c r="L5" s="23" t="n">
        <v>684</v>
      </c>
      <c r="M5" s="23" t="n">
        <v>16080</v>
      </c>
      <c r="N5" s="23" t="n">
        <v>0</v>
      </c>
      <c r="O5" s="24" t="n">
        <v>0.0332376715195031</v>
      </c>
      <c r="P5" s="24" t="n">
        <f aca="false">IF(ISNUMBER(Stock_Seguridad!N5),Stock_Seguridad!N5,"")</f>
        <v>0.18848167539267</v>
      </c>
      <c r="Q5" s="24" t="n">
        <f aca="false">IF(AND(ISNUMBER(O5),ISNUMBER(P5)),P5-O5,"")</f>
        <v>0.155244003873167</v>
      </c>
      <c r="R5" s="23" t="n">
        <f aca="false">MAX(0,G5-N(L5))</f>
        <v>275688</v>
      </c>
      <c r="S5" s="23" t="n">
        <f aca="false">SUMIFS(Cadenas_vs_FCST!$D$17:$D$652,Cadenas_vs_FCST!$A$17:$A$652,A5)</f>
        <v>1522272</v>
      </c>
      <c r="T5" s="23" t="n">
        <f aca="false">SUMIFS(Cadenas_vs_FCST!$E$17:$E$652,Cadenas_vs_FCST!$A$17:$A$652,A5)</f>
        <v>1455276.11150031</v>
      </c>
      <c r="U5" s="24" t="n">
        <f aca="false">IF(T5&gt;0,S5/T5-1,"")</f>
        <v>0.0460365479583256</v>
      </c>
      <c r="V5" s="3" t="str">
        <f aca="false">IF(OR(E5="BAJO SS",E5="BAJO SS (XLIB CUBRE)"),"SÍ","")</f>
        <v/>
      </c>
      <c r="W5" s="3" t="str">
        <f aca="false">IF(AND(V5="",N(L5)&gt;=Parametros!$B$17,G5&gt;=H5,R5&lt;H5),"SÍ","")</f>
        <v/>
      </c>
      <c r="X5" s="3" t="str">
        <f aca="false">IF(OR(E5="SOBRE MAX VENDIBLE",N(N5)&gt;=Parametros!$B$17,N(M5)&gt;=Parametros!$B$17),"SÍ","")</f>
        <v>SÍ</v>
      </c>
      <c r="Y5" s="3" t="str">
        <f aca="false">IF(AND(ISNUMBER(U5),MAX(S5,T5)&gt;=Parametros!$B$15,ABS(N(U5))&gt;Parametros!$B$14),"SÍ","")</f>
        <v/>
      </c>
      <c r="Z5" s="3" t="n">
        <f aca="false">COUNTIF(V5:Y5,"SÍ")</f>
        <v>1</v>
      </c>
      <c r="AA5" s="3" t="n">
        <f aca="false">(3*(V5="SÍ")+2*(W5="SÍ")+2*(X5="SÍ")+(Y5="SÍ"))*IF(LEFT(D5,1)="A",3,IF(OR(LEFT(D5,1)="B",D5="SIN HIST"),2,1))</f>
        <v>6</v>
      </c>
      <c r="AB5" s="3" t="str">
        <f aca="false">IF(AA5&gt;=9,"1-ALTA",IF(AA5&gt;=4,"2-MEDIA",IF(AA5&gt;0,"3-BAJA","")))</f>
        <v>2-MEDIA</v>
      </c>
      <c r="AC5" s="3" t="str">
        <f aca="false">IF(E5="BAJO SS","Stock + XLIB bajo el SS: riesgo real de quiebre, adelantar producción. ","")&amp;IF(E5="BAJO SS (XLIB CUBRE)","Disponible bajo el SS; depende de liberar "&amp;TEXT(J5,"#,##0")&amp;" kg"&amp;IF(ISNUMBER(K5)," el "&amp;TEXT(K5,"dd-mm"),"")&amp;". ","")&amp;IF(W5="SÍ","Stock parece sano pero "&amp;TEXT(L5,"#,##0")&amp;" kg no pasan filtro "&amp;Stock_Seguridad!O5&amp;": sin ellos queda bajo el SS para esa cadena. ","")&amp;IF(E5="SOBRE MAX VENDIBLE","Sobrestock vs vida útil: frenar producción/activar venta. ","")&amp;IF(N(N5)&gt;=Parametros!$B$17,TEXT(N5,"#,##0")&amp;" kg ya no los acepta ninguna cadena: venta intermedia/liquidación. ","")&amp;IF(N(M5)&gt;=Parametros!$B$17,TEXT(M5,"#,##0")&amp;" kg a punto de salir del filtro: despachar primero (FEFO). ","")&amp;IF(Y5="SÍ","Pedidos "&amp;IF(N(U5)&gt;0,"sobre","bajo")&amp;" FCST "&amp;TEXT(ABS(N(U5)),"0%")&amp;": revisar forecast con KAM.","")</f>
        <v>16,080 kg a punto de salir del filtro: despachar primero (FEFO). </v>
      </c>
      <c r="AE5" s="3" t="s">
        <v>161</v>
      </c>
      <c r="AF5" s="25" t="n">
        <f aca="false">COUNTIF(V5:V118,"SÍ")</f>
        <v>7</v>
      </c>
    </row>
    <row r="6" customFormat="false" ht="15" hidden="false" customHeight="false" outlineLevel="0" collapsed="false">
      <c r="A6" s="18" t="n">
        <f aca="false">Stock_Seguridad!A6</f>
        <v>30000325</v>
      </c>
      <c r="B6" s="18" t="str">
        <f aca="false">Stock_Seguridad!B6</f>
        <v>LECHE  LONCO ENTERA S/LAC NAT 12X1LT</v>
      </c>
      <c r="C6" s="18" t="str">
        <f aca="false">Stock_Seguridad!C6</f>
        <v>LECHES LIQUIDAS</v>
      </c>
      <c r="D6" s="18" t="str">
        <f aca="false">Stock_Seguridad!F6</f>
        <v>AX</v>
      </c>
      <c r="E6" s="19" t="str">
        <f aca="false">Stock_Seguridad!X6</f>
        <v>OK</v>
      </c>
      <c r="F6" s="20" t="n">
        <f aca="false">Stock_Seguridad!W6</f>
        <v>4.54091733470048</v>
      </c>
      <c r="G6" s="21" t="n">
        <f aca="false">Stock_Seguridad!T6</f>
        <v>582228</v>
      </c>
      <c r="H6" s="21" t="n">
        <f aca="false">Stock_Seguridad!R6</f>
        <v>54787.8340011071</v>
      </c>
      <c r="I6" s="21" t="n">
        <f aca="false">Stock_Seguridad!S6</f>
        <v>236577.534001107</v>
      </c>
      <c r="J6" s="21" t="n">
        <f aca="false">Stock_Seguridad!U6</f>
        <v>243264</v>
      </c>
      <c r="K6" s="22" t="n">
        <v>46322</v>
      </c>
      <c r="L6" s="23" t="n">
        <v>1512</v>
      </c>
      <c r="M6" s="23" t="n">
        <v>89844</v>
      </c>
      <c r="N6" s="23" t="n">
        <v>768</v>
      </c>
      <c r="O6" s="24" t="n">
        <v>0.105105909718689</v>
      </c>
      <c r="P6" s="24" t="n">
        <f aca="false">IF(ISNUMBER(Stock_Seguridad!N6),Stock_Seguridad!N6,"")</f>
        <v>0.255434782608696</v>
      </c>
      <c r="Q6" s="24" t="n">
        <f aca="false">IF(AND(ISNUMBER(O6),ISNUMBER(P6)),P6-O6,"")</f>
        <v>0.150328872890007</v>
      </c>
      <c r="R6" s="23" t="n">
        <f aca="false">MAX(0,G6-N(L6))</f>
        <v>580716</v>
      </c>
      <c r="S6" s="23" t="n">
        <f aca="false">SUMIFS(Cadenas_vs_FCST!$D$17:$D$652,Cadenas_vs_FCST!$A$17:$A$652,A6)</f>
        <v>502932</v>
      </c>
      <c r="T6" s="23" t="n">
        <f aca="false">SUMIFS(Cadenas_vs_FCST!$E$17:$E$652,Cadenas_vs_FCST!$A$17:$A$652,A6)</f>
        <v>543530.176497465</v>
      </c>
      <c r="U6" s="24" t="n">
        <f aca="false">IF(T6&gt;0,S6/T6-1,"")</f>
        <v>-0.074693509676098</v>
      </c>
      <c r="V6" s="3" t="str">
        <f aca="false">IF(OR(E6="BAJO SS",E6="BAJO SS (XLIB CUBRE)"),"SÍ","")</f>
        <v/>
      </c>
      <c r="W6" s="3" t="str">
        <f aca="false">IF(AND(V6="",N(L6)&gt;=Parametros!$B$17,G6&gt;=H6,R6&lt;H6),"SÍ","")</f>
        <v/>
      </c>
      <c r="X6" s="3" t="str">
        <f aca="false">IF(OR(E6="SOBRE MAX VENDIBLE",N(N6)&gt;=Parametros!$B$17,N(M6)&gt;=Parametros!$B$17),"SÍ","")</f>
        <v>SÍ</v>
      </c>
      <c r="Y6" s="3" t="str">
        <f aca="false">IF(AND(ISNUMBER(U6),MAX(S6,T6)&gt;=Parametros!$B$15,ABS(N(U6))&gt;Parametros!$B$14),"SÍ","")</f>
        <v/>
      </c>
      <c r="Z6" s="3" t="n">
        <f aca="false">COUNTIF(V6:Y6,"SÍ")</f>
        <v>1</v>
      </c>
      <c r="AA6" s="3" t="n">
        <f aca="false">(3*(V6="SÍ")+2*(W6="SÍ")+2*(X6="SÍ")+(Y6="SÍ"))*IF(LEFT(D6,1)="A",3,IF(OR(LEFT(D6,1)="B",D6="SIN HIST"),2,1))</f>
        <v>6</v>
      </c>
      <c r="AB6" s="3" t="str">
        <f aca="false">IF(AA6&gt;=9,"1-ALTA",IF(AA6&gt;=4,"2-MEDIA",IF(AA6&gt;0,"3-BAJA","")))</f>
        <v>2-MEDIA</v>
      </c>
      <c r="AC6" s="3" t="str">
        <f aca="false">IF(E6="BAJO SS","Stock + XLIB bajo el SS: riesgo real de quiebre, adelantar producción. ","")&amp;IF(E6="BAJO SS (XLIB CUBRE)","Disponible bajo el SS; depende de liberar "&amp;TEXT(J6,"#,##0")&amp;" kg"&amp;IF(ISNUMBER(K6)," el "&amp;TEXT(K6,"dd-mm"),"")&amp;". ","")&amp;IF(W6="SÍ","Stock parece sano pero "&amp;TEXT(L6,"#,##0")&amp;" kg no pasan filtro "&amp;Stock_Seguridad!O6&amp;": sin ellos queda bajo el SS para esa cadena. ","")&amp;IF(E6="SOBRE MAX VENDIBLE","Sobrestock vs vida útil: frenar producción/activar venta. ","")&amp;IF(N(N6)&gt;=Parametros!$B$17,TEXT(N6,"#,##0")&amp;" kg ya no los acepta ninguna cadena: venta intermedia/liquidación. ","")&amp;IF(N(M6)&gt;=Parametros!$B$17,TEXT(M6,"#,##0")&amp;" kg a punto de salir del filtro: despachar primero (FEFO). ","")&amp;IF(Y6="SÍ","Pedidos "&amp;IF(N(U6)&gt;0,"sobre","bajo")&amp;" FCST "&amp;TEXT(ABS(N(U6)),"0%")&amp;": revisar forecast con KAM.","")</f>
        <v>768 kg ya no los acepta ninguna cadena: venta intermedia/liquidación. 89,844 kg a punto de salir del filtro: despachar primero (FEFO). </v>
      </c>
      <c r="AE6" s="3" t="s">
        <v>162</v>
      </c>
      <c r="AF6" s="25" t="n">
        <f aca="false">COUNTIF(W5:W118,"SÍ")</f>
        <v>9</v>
      </c>
    </row>
    <row r="7" customFormat="false" ht="15" hidden="false" customHeight="false" outlineLevel="0" collapsed="false">
      <c r="A7" s="18" t="n">
        <f aca="false">Stock_Seguridad!A7</f>
        <v>30000326</v>
      </c>
      <c r="B7" s="18" t="str">
        <f aca="false">Stock_Seguridad!B7</f>
        <v>LECHE LONCO SEMIDESCREMADA S/LACT 12X1LT</v>
      </c>
      <c r="C7" s="18" t="str">
        <f aca="false">Stock_Seguridad!C7</f>
        <v>LECHES LIQUIDAS</v>
      </c>
      <c r="D7" s="18" t="str">
        <f aca="false">Stock_Seguridad!F7</f>
        <v>AX</v>
      </c>
      <c r="E7" s="19" t="str">
        <f aca="false">Stock_Seguridad!X7</f>
        <v>OK</v>
      </c>
      <c r="F7" s="20" t="n">
        <f aca="false">Stock_Seguridad!W7</f>
        <v>2.25461973330265</v>
      </c>
      <c r="G7" s="21" t="n">
        <f aca="false">Stock_Seguridad!T7</f>
        <v>236280</v>
      </c>
      <c r="H7" s="21" t="n">
        <f aca="false">Stock_Seguridad!R7</f>
        <v>37565.4474043127</v>
      </c>
      <c r="I7" s="21" t="n">
        <f aca="false">Stock_Seguridad!S7</f>
        <v>211357.947404313</v>
      </c>
      <c r="J7" s="21" t="n">
        <f aca="false">Stock_Seguridad!U7</f>
        <v>155556</v>
      </c>
      <c r="K7" s="22" t="n">
        <v>46319</v>
      </c>
      <c r="L7" s="23" t="n">
        <v>15576</v>
      </c>
      <c r="M7" s="23" t="n">
        <v>0</v>
      </c>
      <c r="N7" s="23" t="n">
        <v>4248</v>
      </c>
      <c r="O7" s="24" t="n">
        <v>0.0763870750176278</v>
      </c>
      <c r="P7" s="24" t="n">
        <f aca="false">IF(ISNUMBER(Stock_Seguridad!N7),Stock_Seguridad!N7,"")</f>
        <v>0.239130434782609</v>
      </c>
      <c r="Q7" s="24" t="n">
        <f aca="false">IF(AND(ISNUMBER(O7),ISNUMBER(P7)),P7-O7,"")</f>
        <v>0.162743359764981</v>
      </c>
      <c r="R7" s="23" t="n">
        <f aca="false">MAX(0,G7-N(L7))</f>
        <v>220704</v>
      </c>
      <c r="S7" s="23" t="n">
        <f aca="false">SUMIFS(Cadenas_vs_FCST!$D$17:$D$652,Cadenas_vs_FCST!$A$17:$A$652,A7)</f>
        <v>482760</v>
      </c>
      <c r="T7" s="23" t="n">
        <f aca="false">SUMIFS(Cadenas_vs_FCST!$E$17:$E$652,Cadenas_vs_FCST!$A$17:$A$652,A7)</f>
        <v>521443.369500659</v>
      </c>
      <c r="U7" s="24" t="n">
        <f aca="false">IF(T7&gt;0,S7/T7-1,"")</f>
        <v>-0.0741851786085658</v>
      </c>
      <c r="V7" s="3" t="str">
        <f aca="false">IF(OR(E7="BAJO SS",E7="BAJO SS (XLIB CUBRE)"),"SÍ","")</f>
        <v/>
      </c>
      <c r="W7" s="3" t="str">
        <f aca="false">IF(AND(V7="",N(L7)&gt;=Parametros!$B$17,G7&gt;=H7,R7&lt;H7),"SÍ","")</f>
        <v/>
      </c>
      <c r="X7" s="3" t="str">
        <f aca="false">IF(OR(E7="SOBRE MAX VENDIBLE",N(N7)&gt;=Parametros!$B$17,N(M7)&gt;=Parametros!$B$17),"SÍ","")</f>
        <v>SÍ</v>
      </c>
      <c r="Y7" s="3" t="str">
        <f aca="false">IF(AND(ISNUMBER(U7),MAX(S7,T7)&gt;=Parametros!$B$15,ABS(N(U7))&gt;Parametros!$B$14),"SÍ","")</f>
        <v/>
      </c>
      <c r="Z7" s="3" t="n">
        <f aca="false">COUNTIF(V7:Y7,"SÍ")</f>
        <v>1</v>
      </c>
      <c r="AA7" s="3" t="n">
        <f aca="false">(3*(V7="SÍ")+2*(W7="SÍ")+2*(X7="SÍ")+(Y7="SÍ"))*IF(LEFT(D7,1)="A",3,IF(OR(LEFT(D7,1)="B",D7="SIN HIST"),2,1))</f>
        <v>6</v>
      </c>
      <c r="AB7" s="3" t="str">
        <f aca="false">IF(AA7&gt;=9,"1-ALTA",IF(AA7&gt;=4,"2-MEDIA",IF(AA7&gt;0,"3-BAJA","")))</f>
        <v>2-MEDIA</v>
      </c>
      <c r="AC7" s="3" t="str">
        <f aca="false">IF(E7="BAJO SS","Stock + XLIB bajo el SS: riesgo real de quiebre, adelantar producción. ","")&amp;IF(E7="BAJO SS (XLIB CUBRE)","Disponible bajo el SS; depende de liberar "&amp;TEXT(J7,"#,##0")&amp;" kg"&amp;IF(ISNUMBER(K7)," el "&amp;TEXT(K7,"dd-mm"),"")&amp;". ","")&amp;IF(W7="SÍ","Stock parece sano pero "&amp;TEXT(L7,"#,##0")&amp;" kg no pasan filtro "&amp;Stock_Seguridad!O7&amp;": sin ellos queda bajo el SS para esa cadena. ","")&amp;IF(E7="SOBRE MAX VENDIBLE","Sobrestock vs vida útil: frenar producción/activar venta. ","")&amp;IF(N(N7)&gt;=Parametros!$B$17,TEXT(N7,"#,##0")&amp;" kg ya no los acepta ninguna cadena: venta intermedia/liquidación. ","")&amp;IF(N(M7)&gt;=Parametros!$B$17,TEXT(M7,"#,##0")&amp;" kg a punto de salir del filtro: despachar primero (FEFO). ","")&amp;IF(Y7="SÍ","Pedidos "&amp;IF(N(U7)&gt;0,"sobre","bajo")&amp;" FCST "&amp;TEXT(ABS(N(U7)),"0%")&amp;": revisar forecast con KAM.","")</f>
        <v>4,248 kg ya no los acepta ninguna cadena: venta intermedia/liquidación. </v>
      </c>
      <c r="AE7" s="3" t="s">
        <v>163</v>
      </c>
      <c r="AF7" s="25" t="n">
        <f aca="false">COUNTIF(X5:X118,"SÍ")</f>
        <v>46</v>
      </c>
    </row>
    <row r="8" customFormat="false" ht="15" hidden="false" customHeight="false" outlineLevel="0" collapsed="false">
      <c r="A8" s="18" t="n">
        <f aca="false">Stock_Seguridad!A8</f>
        <v>30000353</v>
      </c>
      <c r="B8" s="18" t="str">
        <f aca="false">Stock_Seguridad!B8</f>
        <v>LECHE LONCO DESC S/LACTOSA 12X1LT</v>
      </c>
      <c r="C8" s="18" t="str">
        <f aca="false">Stock_Seguridad!C8</f>
        <v>LECHES LIQUIDAS</v>
      </c>
      <c r="D8" s="18" t="str">
        <f aca="false">Stock_Seguridad!F8</f>
        <v>AX</v>
      </c>
      <c r="E8" s="19" t="str">
        <f aca="false">Stock_Seguridad!X8</f>
        <v>OK</v>
      </c>
      <c r="F8" s="20" t="n">
        <f aca="false">Stock_Seguridad!W8</f>
        <v>1.85389809699202</v>
      </c>
      <c r="G8" s="21" t="n">
        <f aca="false">Stock_Seguridad!T8</f>
        <v>218316</v>
      </c>
      <c r="H8" s="21" t="n">
        <f aca="false">Stock_Seguridad!R8</f>
        <v>51160.8282008819</v>
      </c>
      <c r="I8" s="21" t="n">
        <f aca="false">Stock_Seguridad!S8</f>
        <v>183109.828200882</v>
      </c>
      <c r="J8" s="21" t="n">
        <f aca="false">Stock_Seguridad!U8</f>
        <v>26304</v>
      </c>
      <c r="K8" s="22" t="n">
        <v>46318</v>
      </c>
      <c r="L8" s="23" t="n">
        <v>2208</v>
      </c>
      <c r="M8" s="23" t="n">
        <v>252</v>
      </c>
      <c r="N8" s="23" t="n">
        <v>312</v>
      </c>
      <c r="O8" s="24" t="n">
        <v>0.0712468482721115</v>
      </c>
      <c r="P8" s="24" t="n">
        <f aca="false">IF(ISNUMBER(Stock_Seguridad!N8),Stock_Seguridad!N8,"")</f>
        <v>0.239130434782609</v>
      </c>
      <c r="Q8" s="24" t="n">
        <f aca="false">IF(AND(ISNUMBER(O8),ISNUMBER(P8)),P8-O8,"")</f>
        <v>0.167883586510497</v>
      </c>
      <c r="R8" s="23" t="n">
        <f aca="false">MAX(0,G8-N(L8))</f>
        <v>216108</v>
      </c>
      <c r="S8" s="23" t="n">
        <f aca="false">SUMIFS(Cadenas_vs_FCST!$D$17:$D$652,Cadenas_vs_FCST!$A$17:$A$652,A8)</f>
        <v>427464</v>
      </c>
      <c r="T8" s="23" t="n">
        <f aca="false">SUMIFS(Cadenas_vs_FCST!$E$17:$E$652,Cadenas_vs_FCST!$A$17:$A$652,A8)</f>
        <v>393661.158237621</v>
      </c>
      <c r="U8" s="24" t="n">
        <f aca="false">IF(T8&gt;0,S8/T8-1,"")</f>
        <v>0.0858678613701964</v>
      </c>
      <c r="V8" s="3" t="str">
        <f aca="false">IF(OR(E8="BAJO SS",E8="BAJO SS (XLIB CUBRE)"),"SÍ","")</f>
        <v/>
      </c>
      <c r="W8" s="3" t="str">
        <f aca="false">IF(AND(V8="",N(L8)&gt;=Parametros!$B$17,G8&gt;=H8,R8&lt;H8),"SÍ","")</f>
        <v/>
      </c>
      <c r="X8" s="3" t="str">
        <f aca="false">IF(OR(E8="SOBRE MAX VENDIBLE",N(N8)&gt;=Parametros!$B$17,N(M8)&gt;=Parametros!$B$17),"SÍ","")</f>
        <v/>
      </c>
      <c r="Y8" s="3" t="str">
        <f aca="false">IF(AND(ISNUMBER(U8),MAX(S8,T8)&gt;=Parametros!$B$15,ABS(N(U8))&gt;Parametros!$B$14),"SÍ","")</f>
        <v/>
      </c>
      <c r="Z8" s="3" t="n">
        <f aca="false">COUNTIF(V8:Y8,"SÍ")</f>
        <v>0</v>
      </c>
      <c r="AA8" s="3" t="n">
        <f aca="false">(3*(V8="SÍ")+2*(W8="SÍ")+2*(X8="SÍ")+(Y8="SÍ"))*IF(LEFT(D8,1)="A",3,IF(OR(LEFT(D8,1)="B",D8="SIN HIST"),2,1))</f>
        <v>0</v>
      </c>
      <c r="AB8" s="3" t="str">
        <f aca="false">IF(AA8&gt;=9,"1-ALTA",IF(AA8&gt;=4,"2-MEDIA",IF(AA8&gt;0,"3-BAJA","")))</f>
        <v/>
      </c>
      <c r="AC8" s="3" t="str">
        <f aca="false">IF(E8="BAJO SS","Stock + XLIB bajo el SS: riesgo real de quiebre, adelantar producción. ","")&amp;IF(E8="BAJO SS (XLIB CUBRE)","Disponible bajo el SS; depende de liberar "&amp;TEXT(J8,"#,##0")&amp;" kg"&amp;IF(ISNUMBER(K8)," el "&amp;TEXT(K8,"dd-mm"),"")&amp;". ","")&amp;IF(W8="SÍ","Stock parece sano pero "&amp;TEXT(L8,"#,##0")&amp;" kg no pasan filtro "&amp;Stock_Seguridad!O8&amp;": sin ellos queda bajo el SS para esa cadena. ","")&amp;IF(E8="SOBRE MAX VENDIBLE","Sobrestock vs vida útil: frenar producción/activar venta. ","")&amp;IF(N(N8)&gt;=Parametros!$B$17,TEXT(N8,"#,##0")&amp;" kg ya no los acepta ninguna cadena: venta intermedia/liquidación. ","")&amp;IF(N(M8)&gt;=Parametros!$B$17,TEXT(M8,"#,##0")&amp;" kg a punto de salir del filtro: despachar primero (FEFO). ","")&amp;IF(Y8="SÍ","Pedidos "&amp;IF(N(U8)&gt;0,"sobre","bajo")&amp;" FCST "&amp;TEXT(ABS(N(U8)),"0%")&amp;": revisar forecast con KAM.","")</f>
        <v/>
      </c>
      <c r="AE8" s="3" t="s">
        <v>164</v>
      </c>
      <c r="AF8" s="25" t="n">
        <f aca="false">COUNTIF(Y5:Y118,"SÍ")</f>
        <v>42</v>
      </c>
    </row>
    <row r="9" customFormat="false" ht="15" hidden="false" customHeight="false" outlineLevel="0" collapsed="false">
      <c r="A9" s="18" t="n">
        <f aca="false">Stock_Seguridad!A9</f>
        <v>30000523</v>
      </c>
      <c r="B9" s="18" t="str">
        <f aca="false">Stock_Seguridad!B9</f>
        <v>LECHE BLANCA LONCO SEMI BASE 12X1LT</v>
      </c>
      <c r="C9" s="18" t="str">
        <f aca="false">Stock_Seguridad!C9</f>
        <v>LECHES LIQUIDAS</v>
      </c>
      <c r="D9" s="18" t="str">
        <f aca="false">Stock_Seguridad!F9</f>
        <v>AX</v>
      </c>
      <c r="E9" s="19" t="str">
        <f aca="false">Stock_Seguridad!X9</f>
        <v>SOBRE MAX VENDIBLE</v>
      </c>
      <c r="F9" s="20" t="n">
        <f aca="false">Stock_Seguridad!W9</f>
        <v>7.34967434653562</v>
      </c>
      <c r="G9" s="21" t="n">
        <f aca="false">Stock_Seguridad!T9</f>
        <v>757980</v>
      </c>
      <c r="H9" s="21" t="n">
        <f aca="false">Stock_Seguridad!R9</f>
        <v>136290.406727946</v>
      </c>
      <c r="I9" s="21" t="n">
        <f aca="false">Stock_Seguridad!S9</f>
        <v>239421.506727946</v>
      </c>
      <c r="J9" s="21" t="n">
        <f aca="false">Stock_Seguridad!U9</f>
        <v>0</v>
      </c>
      <c r="K9" s="22"/>
      <c r="L9" s="23" t="n">
        <v>318540</v>
      </c>
      <c r="M9" s="23" t="n">
        <v>102420</v>
      </c>
      <c r="N9" s="23" t="n">
        <v>768</v>
      </c>
      <c r="O9" s="24" t="n">
        <v>0.167761546383586</v>
      </c>
      <c r="P9" s="24" t="n">
        <f aca="false">IF(ISNUMBER(Stock_Seguridad!N9),Stock_Seguridad!N9,"")</f>
        <v>0.18848167539267</v>
      </c>
      <c r="Q9" s="24" t="n">
        <f aca="false">IF(AND(ISNUMBER(O9),ISNUMBER(P9)),P9-O9,"")</f>
        <v>0.0207201290090846</v>
      </c>
      <c r="R9" s="23" t="n">
        <f aca="false">MAX(0,G9-N(L9))</f>
        <v>439440</v>
      </c>
      <c r="S9" s="23" t="n">
        <f aca="false">SUMIFS(Cadenas_vs_FCST!$D$17:$D$652,Cadenas_vs_FCST!$A$17:$A$652,A9)</f>
        <v>273588</v>
      </c>
      <c r="T9" s="23" t="n">
        <f aca="false">SUMIFS(Cadenas_vs_FCST!$E$17:$E$652,Cadenas_vs_FCST!$A$17:$A$652,A9)</f>
        <v>461942.507120916</v>
      </c>
      <c r="U9" s="24" t="n">
        <f aca="false">IF(T9&gt;0,S9/T9-1,"")</f>
        <v>-0.407744479491282</v>
      </c>
      <c r="V9" s="3" t="str">
        <f aca="false">IF(OR(E9="BAJO SS",E9="BAJO SS (XLIB CUBRE)"),"SÍ","")</f>
        <v/>
      </c>
      <c r="W9" s="3" t="str">
        <f aca="false">IF(AND(V9="",N(L9)&gt;=Parametros!$B$17,G9&gt;=H9,R9&lt;H9),"SÍ","")</f>
        <v/>
      </c>
      <c r="X9" s="3" t="str">
        <f aca="false">IF(OR(E9="SOBRE MAX VENDIBLE",N(N9)&gt;=Parametros!$B$17,N(M9)&gt;=Parametros!$B$17),"SÍ","")</f>
        <v>SÍ</v>
      </c>
      <c r="Y9" s="3" t="str">
        <f aca="false">IF(AND(ISNUMBER(U9),MAX(S9,T9)&gt;=Parametros!$B$15,ABS(N(U9))&gt;Parametros!$B$14),"SÍ","")</f>
        <v>SÍ</v>
      </c>
      <c r="Z9" s="3" t="n">
        <f aca="false">COUNTIF(V9:Y9,"SÍ")</f>
        <v>2</v>
      </c>
      <c r="AA9" s="3" t="n">
        <f aca="false">(3*(V9="SÍ")+2*(W9="SÍ")+2*(X9="SÍ")+(Y9="SÍ"))*IF(LEFT(D9,1)="A",3,IF(OR(LEFT(D9,1)="B",D9="SIN HIST"),2,1))</f>
        <v>9</v>
      </c>
      <c r="AB9" s="3" t="str">
        <f aca="false">IF(AA9&gt;=9,"1-ALTA",IF(AA9&gt;=4,"2-MEDIA",IF(AA9&gt;0,"3-BAJA","")))</f>
        <v>1-ALTA</v>
      </c>
      <c r="AC9" s="3" t="str">
        <f aca="false">IF(E9="BAJO SS","Stock + XLIB bajo el SS: riesgo real de quiebre, adelantar producción. ","")&amp;IF(E9="BAJO SS (XLIB CUBRE)","Disponible bajo el SS; depende de liberar "&amp;TEXT(J9,"#,##0")&amp;" kg"&amp;IF(ISNUMBER(K9)," el "&amp;TEXT(K9,"dd-mm"),"")&amp;". ","")&amp;IF(W9="SÍ","Stock parece sano pero "&amp;TEXT(L9,"#,##0")&amp;" kg no pasan filtro "&amp;Stock_Seguridad!O9&amp;": sin ellos queda bajo el SS para esa cadena. ","")&amp;IF(E9="SOBRE MAX VENDIBLE","Sobrestock vs vida útil: frenar producción/activar venta. ","")&amp;IF(N(N9)&gt;=Parametros!$B$17,TEXT(N9,"#,##0")&amp;" kg ya no los acepta ninguna cadena: venta intermedia/liquidación. ","")&amp;IF(N(M9)&gt;=Parametros!$B$17,TEXT(M9,"#,##0")&amp;" kg a punto de salir del filtro: despachar primero (FEFO). ","")&amp;IF(Y9="SÍ","Pedidos "&amp;IF(N(U9)&gt;0,"sobre","bajo")&amp;" FCST "&amp;TEXT(ABS(N(U9)),"0%")&amp;": revisar forecast con KAM.","")</f>
        <v>Sobrestock vs vida útil: frenar producción/activar venta. 768 kg ya no los acepta ninguna cadena: venta intermedia/liquidación. 102,420 kg a punto de salir del filtro: despachar primero (FEFO). Pedidos bajo FCST 41%: revisar forecast con KAM.</v>
      </c>
      <c r="AE9" s="3" t="s">
        <v>165</v>
      </c>
      <c r="AF9" s="25" t="n">
        <f aca="false">COUNTIF(AB5:AB118,"1-ALTA")</f>
        <v>5</v>
      </c>
    </row>
    <row r="10" customFormat="false" ht="15" hidden="false" customHeight="false" outlineLevel="0" collapsed="false">
      <c r="A10" s="18" t="n">
        <f aca="false">Stock_Seguridad!A10</f>
        <v>30000255</v>
      </c>
      <c r="B10" s="18" t="str">
        <f aca="false">Stock_Seguridad!B10</f>
        <v>NECTAR WATTS DZNO SIXPACK 30X200ML</v>
      </c>
      <c r="C10" s="18" t="str">
        <f aca="false">Stock_Seguridad!C10</f>
        <v>JUGOS Y NECTARES</v>
      </c>
      <c r="D10" s="18" t="str">
        <f aca="false">Stock_Seguridad!F10</f>
        <v>AY</v>
      </c>
      <c r="E10" s="19" t="str">
        <f aca="false">Stock_Seguridad!X10</f>
        <v>OK</v>
      </c>
      <c r="F10" s="20" t="n">
        <f aca="false">Stock_Seguridad!W10</f>
        <v>5.29359533185859</v>
      </c>
      <c r="G10" s="21" t="n">
        <f aca="false">Stock_Seguridad!T10</f>
        <v>429072</v>
      </c>
      <c r="H10" s="21" t="n">
        <f aca="false">Stock_Seguridad!R10</f>
        <v>58177.8102434475</v>
      </c>
      <c r="I10" s="21" t="n">
        <f aca="false">Stock_Seguridad!S10</f>
        <v>142305.510243447</v>
      </c>
      <c r="J10" s="21" t="n">
        <f aca="false">Stock_Seguridad!U10</f>
        <v>16266</v>
      </c>
      <c r="K10" s="22" t="n">
        <v>46317</v>
      </c>
      <c r="L10" s="23" t="n">
        <v>0</v>
      </c>
      <c r="M10" s="23" t="n">
        <v>0</v>
      </c>
      <c r="N10" s="23" t="n">
        <v>0</v>
      </c>
      <c r="O10" s="24" t="n">
        <v>0.0523016429708366</v>
      </c>
      <c r="P10" s="24" t="n">
        <f aca="false">IF(ISNUMBER(Stock_Seguridad!N10),Stock_Seguridad!N10,"")</f>
        <v>0.32054794520548</v>
      </c>
      <c r="Q10" s="24" t="n">
        <f aca="false">IF(AND(ISNUMBER(O10),ISNUMBER(P10)),P10-O10,"")</f>
        <v>0.268246302234643</v>
      </c>
      <c r="R10" s="23" t="n">
        <f aca="false">MAX(0,G10-N(L10))</f>
        <v>429072</v>
      </c>
      <c r="S10" s="23" t="n">
        <f aca="false">SUMIFS(Cadenas_vs_FCST!$D$17:$D$652,Cadenas_vs_FCST!$A$17:$A$652,A10)</f>
        <v>317406</v>
      </c>
      <c r="T10" s="23" t="n">
        <f aca="false">SUMIFS(Cadenas_vs_FCST!$E$17:$E$652,Cadenas_vs_FCST!$A$17:$A$652,A10)</f>
        <v>276949.480917707</v>
      </c>
      <c r="U10" s="24" t="n">
        <f aca="false">IF(T10&gt;0,S10/T10-1,"")</f>
        <v>0.146079057264291</v>
      </c>
      <c r="V10" s="3" t="str">
        <f aca="false">IF(OR(E10="BAJO SS",E10="BAJO SS (XLIB CUBRE)"),"SÍ","")</f>
        <v/>
      </c>
      <c r="W10" s="3" t="str">
        <f aca="false">IF(AND(V10="",N(L10)&gt;=Parametros!$B$17,G10&gt;=H10,R10&lt;H10),"SÍ","")</f>
        <v/>
      </c>
      <c r="X10" s="3" t="str">
        <f aca="false">IF(OR(E10="SOBRE MAX VENDIBLE",N(N10)&gt;=Parametros!$B$17,N(M10)&gt;=Parametros!$B$17),"SÍ","")</f>
        <v/>
      </c>
      <c r="Y10" s="3" t="str">
        <f aca="false">IF(AND(ISNUMBER(U10),MAX(S10,T10)&gt;=Parametros!$B$15,ABS(N(U10))&gt;Parametros!$B$14),"SÍ","")</f>
        <v/>
      </c>
      <c r="Z10" s="3" t="n">
        <f aca="false">COUNTIF(V10:Y10,"SÍ")</f>
        <v>0</v>
      </c>
      <c r="AA10" s="3" t="n">
        <f aca="false">(3*(V10="SÍ")+2*(W10="SÍ")+2*(X10="SÍ")+(Y10="SÍ"))*IF(LEFT(D10,1)="A",3,IF(OR(LEFT(D10,1)="B",D10="SIN HIST"),2,1))</f>
        <v>0</v>
      </c>
      <c r="AB10" s="3" t="str">
        <f aca="false">IF(AA10&gt;=9,"1-ALTA",IF(AA10&gt;=4,"2-MEDIA",IF(AA10&gt;0,"3-BAJA","")))</f>
        <v/>
      </c>
      <c r="AC10" s="3" t="str">
        <f aca="false">IF(E10="BAJO SS","Stock + XLIB bajo el SS: riesgo real de quiebre, adelantar producción. ","")&amp;IF(E10="BAJO SS (XLIB CUBRE)","Disponible bajo el SS; depende de liberar "&amp;TEXT(J10,"#,##0")&amp;" kg"&amp;IF(ISNUMBER(K10)," el "&amp;TEXT(K10,"dd-mm"),"")&amp;". ","")&amp;IF(W10="SÍ","Stock parece sano pero "&amp;TEXT(L10,"#,##0")&amp;" kg no pasan filtro "&amp;Stock_Seguridad!O10&amp;": sin ellos queda bajo el SS para esa cadena. ","")&amp;IF(E10="SOBRE MAX VENDIBLE","Sobrestock vs vida útil: frenar producción/activar venta. ","")&amp;IF(N(N10)&gt;=Parametros!$B$17,TEXT(N10,"#,##0")&amp;" kg ya no los acepta ninguna cadena: venta intermedia/liquidación. ","")&amp;IF(N(M10)&gt;=Parametros!$B$17,TEXT(M10,"#,##0")&amp;" kg a punto de salir del filtro: despachar primero (FEFO). ","")&amp;IF(Y10="SÍ","Pedidos "&amp;IF(N(U10)&gt;0,"sobre","bajo")&amp;" FCST "&amp;TEXT(ABS(N(U10)),"0%")&amp;": revisar forecast con KAM.","")</f>
        <v/>
      </c>
      <c r="AE10" s="3" t="s">
        <v>166</v>
      </c>
      <c r="AF10" s="25" t="n">
        <f aca="false">COUNTIF(AB5:AB118,"2-MEDIA")</f>
        <v>34</v>
      </c>
    </row>
    <row r="11" customFormat="false" ht="15" hidden="false" customHeight="false" outlineLevel="0" collapsed="false">
      <c r="A11" s="18" t="n">
        <f aca="false">Stock_Seguridad!A11</f>
        <v>30000524</v>
      </c>
      <c r="B11" s="18" t="str">
        <f aca="false">Stock_Seguridad!B11</f>
        <v>LECHE BLANCA LONCO DESC BASE 12X1LT</v>
      </c>
      <c r="C11" s="18" t="str">
        <f aca="false">Stock_Seguridad!C11</f>
        <v>LECHES LIQUIDAS</v>
      </c>
      <c r="D11" s="18" t="str">
        <f aca="false">Stock_Seguridad!F11</f>
        <v>AZ</v>
      </c>
      <c r="E11" s="19" t="str">
        <f aca="false">Stock_Seguridad!X11</f>
        <v>BAJO P.REORDEN</v>
      </c>
      <c r="F11" s="20" t="n">
        <f aca="false">Stock_Seguridad!W11</f>
        <v>2.92949020136036</v>
      </c>
      <c r="G11" s="21" t="n">
        <f aca="false">Stock_Seguridad!T11</f>
        <v>208800</v>
      </c>
      <c r="H11" s="21" t="n">
        <f aca="false">Stock_Seguridad!R11</f>
        <v>205028.965680551</v>
      </c>
      <c r="I11" s="21" t="n">
        <f aca="false">Stock_Seguridad!S11</f>
        <v>276304.165680551</v>
      </c>
      <c r="J11" s="21" t="n">
        <f aca="false">Stock_Seguridad!U11</f>
        <v>0</v>
      </c>
      <c r="K11" s="22"/>
      <c r="L11" s="23" t="n">
        <v>4020</v>
      </c>
      <c r="M11" s="23" t="n">
        <v>8232</v>
      </c>
      <c r="N11" s="23" t="n">
        <v>4020</v>
      </c>
      <c r="O11" s="24" t="n">
        <v>0.0930487304286636</v>
      </c>
      <c r="P11" s="24" t="n">
        <f aca="false">IF(ISNUMBER(Stock_Seguridad!N11),Stock_Seguridad!N11,"")</f>
        <v>0.18848167539267</v>
      </c>
      <c r="Q11" s="24" t="n">
        <f aca="false">IF(AND(ISNUMBER(O11),ISNUMBER(P11)),P11-O11,"")</f>
        <v>0.0954329449640065</v>
      </c>
      <c r="R11" s="23" t="n">
        <f aca="false">MAX(0,G11-N(L11))</f>
        <v>204780</v>
      </c>
      <c r="S11" s="23" t="n">
        <f aca="false">SUMIFS(Cadenas_vs_FCST!$D$17:$D$652,Cadenas_vs_FCST!$A$17:$A$652,A11)</f>
        <v>426432</v>
      </c>
      <c r="T11" s="23" t="n">
        <f aca="false">SUMIFS(Cadenas_vs_FCST!$E$17:$E$652,Cadenas_vs_FCST!$A$17:$A$652,A11)</f>
        <v>225993.602113639</v>
      </c>
      <c r="U11" s="24" t="n">
        <f aca="false">IF(T11&gt;0,S11/T11-1,"")</f>
        <v>0.886920673911698</v>
      </c>
      <c r="V11" s="3" t="str">
        <f aca="false">IF(OR(E11="BAJO SS",E11="BAJO SS (XLIB CUBRE)"),"SÍ","")</f>
        <v/>
      </c>
      <c r="W11" s="3" t="str">
        <f aca="false">IF(AND(V11="",N(L11)&gt;=Parametros!$B$17,G11&gt;=H11,R11&lt;H11),"SÍ","")</f>
        <v>SÍ</v>
      </c>
      <c r="X11" s="3" t="str">
        <f aca="false">IF(OR(E11="SOBRE MAX VENDIBLE",N(N11)&gt;=Parametros!$B$17,N(M11)&gt;=Parametros!$B$17),"SÍ","")</f>
        <v>SÍ</v>
      </c>
      <c r="Y11" s="3" t="str">
        <f aca="false">IF(AND(ISNUMBER(U11),MAX(S11,T11)&gt;=Parametros!$B$15,ABS(N(U11))&gt;Parametros!$B$14),"SÍ","")</f>
        <v>SÍ</v>
      </c>
      <c r="Z11" s="3" t="n">
        <f aca="false">COUNTIF(V11:Y11,"SÍ")</f>
        <v>3</v>
      </c>
      <c r="AA11" s="3" t="n">
        <f aca="false">(3*(V11="SÍ")+2*(W11="SÍ")+2*(X11="SÍ")+(Y11="SÍ"))*IF(LEFT(D11,1)="A",3,IF(OR(LEFT(D11,1)="B",D11="SIN HIST"),2,1))</f>
        <v>15</v>
      </c>
      <c r="AB11" s="3" t="str">
        <f aca="false">IF(AA11&gt;=9,"1-ALTA",IF(AA11&gt;=4,"2-MEDIA",IF(AA11&gt;0,"3-BAJA","")))</f>
        <v>1-ALTA</v>
      </c>
      <c r="AC11" s="3" t="str">
        <f aca="false">IF(E11="BAJO SS","Stock + XLIB bajo el SS: riesgo real de quiebre, adelantar producción. ","")&amp;IF(E11="BAJO SS (XLIB CUBRE)","Disponible bajo el SS; depende de liberar "&amp;TEXT(J11,"#,##0")&amp;" kg"&amp;IF(ISNUMBER(K11)," el "&amp;TEXT(K11,"dd-mm"),"")&amp;". ","")&amp;IF(W11="SÍ","Stock parece sano pero "&amp;TEXT(L11,"#,##0")&amp;" kg no pasan filtro "&amp;Stock_Seguridad!O11&amp;": sin ellos queda bajo el SS para esa cadena. ","")&amp;IF(E11="SOBRE MAX VENDIBLE","Sobrestock vs vida útil: frenar producción/activar venta. ","")&amp;IF(N(N11)&gt;=Parametros!$B$17,TEXT(N11,"#,##0")&amp;" kg ya no los acepta ninguna cadena: venta intermedia/liquidación. ","")&amp;IF(N(M11)&gt;=Parametros!$B$17,TEXT(M11,"#,##0")&amp;" kg a punto de salir del filtro: despachar primero (FEFO). ","")&amp;IF(Y11="SÍ","Pedidos "&amp;IF(N(U11)&gt;0,"sobre","bajo")&amp;" FCST "&amp;TEXT(ABS(N(U11)),"0%")&amp;": revisar forecast con KAM.","")</f>
        <v>Stock parece sano pero 4,020 kg no pasan filtro CENCOSUD CENTRAL: sin ellos queda bajo el SS para esa cadena. 4,020 kg ya no los acepta ninguna cadena: venta intermedia/liquidación. 8,232 kg a punto de salir del filtro: despachar primero (FEFO). Pedidos sobre FCST 89%: revisar forecast con KAM.</v>
      </c>
      <c r="AE11" s="3" t="s">
        <v>167</v>
      </c>
      <c r="AF11" s="25" t="n">
        <f aca="false">SUM(L5:L118)</f>
        <v>444051.37</v>
      </c>
    </row>
    <row r="12" customFormat="false" ht="15" hidden="false" customHeight="false" outlineLevel="0" collapsed="false">
      <c r="A12" s="18" t="n">
        <f aca="false">Stock_Seguridad!A12</f>
        <v>30000256</v>
      </c>
      <c r="B12" s="18" t="str">
        <f aca="false">Stock_Seguridad!B12</f>
        <v>NECTAR WATTS PIÑA SIXPACK 30X200ML</v>
      </c>
      <c r="C12" s="18" t="str">
        <f aca="false">Stock_Seguridad!C12</f>
        <v>JUGOS Y NECTARES</v>
      </c>
      <c r="D12" s="18" t="str">
        <f aca="false">Stock_Seguridad!F12</f>
        <v>AY</v>
      </c>
      <c r="E12" s="19" t="str">
        <f aca="false">Stock_Seguridad!X12</f>
        <v>OK</v>
      </c>
      <c r="F12" s="20" t="n">
        <f aca="false">Stock_Seguridad!W12</f>
        <v>3.7490697191691</v>
      </c>
      <c r="G12" s="21" t="n">
        <f aca="false">Stock_Seguridad!T12</f>
        <v>222156</v>
      </c>
      <c r="H12" s="21" t="n">
        <f aca="false">Stock_Seguridad!R12</f>
        <v>54208.2442214323</v>
      </c>
      <c r="I12" s="21" t="n">
        <f aca="false">Stock_Seguridad!S12</f>
        <v>113464.544221432</v>
      </c>
      <c r="J12" s="21" t="n">
        <f aca="false">Stock_Seguridad!U12</f>
        <v>0</v>
      </c>
      <c r="K12" s="22"/>
      <c r="L12" s="23" t="n">
        <v>306</v>
      </c>
      <c r="M12" s="23" t="n">
        <v>2436</v>
      </c>
      <c r="N12" s="23" t="n">
        <v>0</v>
      </c>
      <c r="O12" s="24" t="n">
        <v>0.109289450150402</v>
      </c>
      <c r="P12" s="24" t="n">
        <f aca="false">IF(ISNUMBER(Stock_Seguridad!N12),Stock_Seguridad!N12,"")</f>
        <v>0.32054794520548</v>
      </c>
      <c r="Q12" s="24" t="n">
        <f aca="false">IF(AND(ISNUMBER(O12),ISNUMBER(P12)),P12-O12,"")</f>
        <v>0.211258495055077</v>
      </c>
      <c r="R12" s="23" t="n">
        <f aca="false">MAX(0,G12-N(L12))</f>
        <v>221850</v>
      </c>
      <c r="S12" s="23" t="n">
        <f aca="false">SUMIFS(Cadenas_vs_FCST!$D$17:$D$652,Cadenas_vs_FCST!$A$17:$A$652,A12)</f>
        <v>223524</v>
      </c>
      <c r="T12" s="23" t="n">
        <f aca="false">SUMIFS(Cadenas_vs_FCST!$E$17:$E$652,Cadenas_vs_FCST!$A$17:$A$652,A12)</f>
        <v>203815.376546386</v>
      </c>
      <c r="U12" s="24" t="n">
        <f aca="false">IF(T12&gt;0,S12/T12-1,"")</f>
        <v>0.0966984129832249</v>
      </c>
      <c r="V12" s="3" t="str">
        <f aca="false">IF(OR(E12="BAJO SS",E12="BAJO SS (XLIB CUBRE)"),"SÍ","")</f>
        <v/>
      </c>
      <c r="W12" s="3" t="str">
        <f aca="false">IF(AND(V12="",N(L12)&gt;=Parametros!$B$17,G12&gt;=H12,R12&lt;H12),"SÍ","")</f>
        <v/>
      </c>
      <c r="X12" s="3" t="str">
        <f aca="false">IF(OR(E12="SOBRE MAX VENDIBLE",N(N12)&gt;=Parametros!$B$17,N(M12)&gt;=Parametros!$B$17),"SÍ","")</f>
        <v>SÍ</v>
      </c>
      <c r="Y12" s="3" t="str">
        <f aca="false">IF(AND(ISNUMBER(U12),MAX(S12,T12)&gt;=Parametros!$B$15,ABS(N(U12))&gt;Parametros!$B$14),"SÍ","")</f>
        <v/>
      </c>
      <c r="Z12" s="3" t="n">
        <f aca="false">COUNTIF(V12:Y12,"SÍ")</f>
        <v>1</v>
      </c>
      <c r="AA12" s="3" t="n">
        <f aca="false">(3*(V12="SÍ")+2*(W12="SÍ")+2*(X12="SÍ")+(Y12="SÍ"))*IF(LEFT(D12,1)="A",3,IF(OR(LEFT(D12,1)="B",D12="SIN HIST"),2,1))</f>
        <v>6</v>
      </c>
      <c r="AB12" s="3" t="str">
        <f aca="false">IF(AA12&gt;=9,"1-ALTA",IF(AA12&gt;=4,"2-MEDIA",IF(AA12&gt;0,"3-BAJA","")))</f>
        <v>2-MEDIA</v>
      </c>
      <c r="AC12" s="3" t="str">
        <f aca="false">IF(E12="BAJO SS","Stock + XLIB bajo el SS: riesgo real de quiebre, adelantar producción. ","")&amp;IF(E12="BAJO SS (XLIB CUBRE)","Disponible bajo el SS; depende de liberar "&amp;TEXT(J12,"#,##0")&amp;" kg"&amp;IF(ISNUMBER(K12)," el "&amp;TEXT(K12,"dd-mm"),"")&amp;". ","")&amp;IF(W12="SÍ","Stock parece sano pero "&amp;TEXT(L12,"#,##0")&amp;" kg no pasan filtro "&amp;Stock_Seguridad!O12&amp;": sin ellos queda bajo el SS para esa cadena. ","")&amp;IF(E12="SOBRE MAX VENDIBLE","Sobrestock vs vida útil: frenar producción/activar venta. ","")&amp;IF(N(N12)&gt;=Parametros!$B$17,TEXT(N12,"#,##0")&amp;" kg ya no los acepta ninguna cadena: venta intermedia/liquidación. ","")&amp;IF(N(M12)&gt;=Parametros!$B$17,TEXT(M12,"#,##0")&amp;" kg a punto de salir del filtro: despachar primero (FEFO). ","")&amp;IF(Y12="SÍ","Pedidos "&amp;IF(N(U12)&gt;0,"sobre","bajo")&amp;" FCST "&amp;TEXT(ABS(N(U12)),"0%")&amp;": revisar forecast con KAM.","")</f>
        <v>2,436 kg a punto de salir del filtro: despachar primero (FEFO). </v>
      </c>
      <c r="AE12" s="3" t="s">
        <v>144</v>
      </c>
      <c r="AF12" s="25" t="n">
        <f aca="false">SUM(N5:N118)</f>
        <v>18608.7</v>
      </c>
    </row>
    <row r="13" customFormat="false" ht="15" hidden="false" customHeight="false" outlineLevel="0" collapsed="false">
      <c r="A13" s="18" t="n">
        <f aca="false">Stock_Seguridad!A13</f>
        <v>30000257</v>
      </c>
      <c r="B13" s="18" t="str">
        <f aca="false">Stock_Seguridad!B13</f>
        <v>NECTAR WATTS MZNA SIXPACK 30X200ML</v>
      </c>
      <c r="C13" s="18" t="str">
        <f aca="false">Stock_Seguridad!C13</f>
        <v>JUGOS Y NECTARES</v>
      </c>
      <c r="D13" s="18" t="str">
        <f aca="false">Stock_Seguridad!F13</f>
        <v>AX</v>
      </c>
      <c r="E13" s="19" t="str">
        <f aca="false">Stock_Seguridad!X13</f>
        <v>OK</v>
      </c>
      <c r="F13" s="20" t="n">
        <f aca="false">Stock_Seguridad!W13</f>
        <v>5.83455247184058</v>
      </c>
      <c r="G13" s="21" t="n">
        <f aca="false">Stock_Seguridad!T13</f>
        <v>325398</v>
      </c>
      <c r="H13" s="21" t="n">
        <f aca="false">Stock_Seguridad!R13</f>
        <v>39827.55256937</v>
      </c>
      <c r="I13" s="21" t="n">
        <f aca="false">Stock_Seguridad!S13</f>
        <v>95741.35256937</v>
      </c>
      <c r="J13" s="21" t="n">
        <f aca="false">Stock_Seguridad!U13</f>
        <v>834</v>
      </c>
      <c r="K13" s="22" t="n">
        <v>46263</v>
      </c>
      <c r="L13" s="23" t="n">
        <v>0</v>
      </c>
      <c r="M13" s="23" t="n">
        <v>3690</v>
      </c>
      <c r="N13" s="23" t="n">
        <v>0</v>
      </c>
      <c r="O13" s="24" t="n">
        <v>0.079453458898407</v>
      </c>
      <c r="P13" s="24" t="n">
        <f aca="false">IF(ISNUMBER(Stock_Seguridad!N13),Stock_Seguridad!N13,"")</f>
        <v>0.32054794520548</v>
      </c>
      <c r="Q13" s="24" t="n">
        <f aca="false">IF(AND(ISNUMBER(O13),ISNUMBER(P13)),P13-O13,"")</f>
        <v>0.241094486307073</v>
      </c>
      <c r="R13" s="23" t="n">
        <f aca="false">MAX(0,G13-N(L13))</f>
        <v>325398</v>
      </c>
      <c r="S13" s="23" t="n">
        <f aca="false">SUMIFS(Cadenas_vs_FCST!$D$17:$D$652,Cadenas_vs_FCST!$A$17:$A$652,A13)</f>
        <v>209526</v>
      </c>
      <c r="T13" s="23" t="n">
        <f aca="false">SUMIFS(Cadenas_vs_FCST!$E$17:$E$652,Cadenas_vs_FCST!$A$17:$A$652,A13)</f>
        <v>224854.500588335</v>
      </c>
      <c r="U13" s="24" t="n">
        <f aca="false">IF(T13&gt;0,S13/T13-1,"")</f>
        <v>-0.06817075285675</v>
      </c>
      <c r="V13" s="3" t="str">
        <f aca="false">IF(OR(E13="BAJO SS",E13="BAJO SS (XLIB CUBRE)"),"SÍ","")</f>
        <v/>
      </c>
      <c r="W13" s="3" t="str">
        <f aca="false">IF(AND(V13="",N(L13)&gt;=Parametros!$B$17,G13&gt;=H13,R13&lt;H13),"SÍ","")</f>
        <v/>
      </c>
      <c r="X13" s="3" t="str">
        <f aca="false">IF(OR(E13="SOBRE MAX VENDIBLE",N(N13)&gt;=Parametros!$B$17,N(M13)&gt;=Parametros!$B$17),"SÍ","")</f>
        <v>SÍ</v>
      </c>
      <c r="Y13" s="3" t="str">
        <f aca="false">IF(AND(ISNUMBER(U13),MAX(S13,T13)&gt;=Parametros!$B$15,ABS(N(U13))&gt;Parametros!$B$14),"SÍ","")</f>
        <v/>
      </c>
      <c r="Z13" s="3" t="n">
        <f aca="false">COUNTIF(V13:Y13,"SÍ")</f>
        <v>1</v>
      </c>
      <c r="AA13" s="3" t="n">
        <f aca="false">(3*(V13="SÍ")+2*(W13="SÍ")+2*(X13="SÍ")+(Y13="SÍ"))*IF(LEFT(D13,1)="A",3,IF(OR(LEFT(D13,1)="B",D13="SIN HIST"),2,1))</f>
        <v>6</v>
      </c>
      <c r="AB13" s="3" t="str">
        <f aca="false">IF(AA13&gt;=9,"1-ALTA",IF(AA13&gt;=4,"2-MEDIA",IF(AA13&gt;0,"3-BAJA","")))</f>
        <v>2-MEDIA</v>
      </c>
      <c r="AC13" s="3" t="str">
        <f aca="false">IF(E13="BAJO SS","Stock + XLIB bajo el SS: riesgo real de quiebre, adelantar producción. ","")&amp;IF(E13="BAJO SS (XLIB CUBRE)","Disponible bajo el SS; depende de liberar "&amp;TEXT(J13,"#,##0")&amp;" kg"&amp;IF(ISNUMBER(K13)," el "&amp;TEXT(K13,"dd-mm"),"")&amp;". ","")&amp;IF(W13="SÍ","Stock parece sano pero "&amp;TEXT(L13,"#,##0")&amp;" kg no pasan filtro "&amp;Stock_Seguridad!O13&amp;": sin ellos queda bajo el SS para esa cadena. ","")&amp;IF(E13="SOBRE MAX VENDIBLE","Sobrestock vs vida útil: frenar producción/activar venta. ","")&amp;IF(N(N13)&gt;=Parametros!$B$17,TEXT(N13,"#,##0")&amp;" kg ya no los acepta ninguna cadena: venta intermedia/liquidación. ","")&amp;IF(N(M13)&gt;=Parametros!$B$17,TEXT(M13,"#,##0")&amp;" kg a punto de salir del filtro: despachar primero (FEFO). ","")&amp;IF(Y13="SÍ","Pedidos "&amp;IF(N(U13)&gt;0,"sobre","bajo")&amp;" FCST "&amp;TEXT(ABS(N(U13)),"0%")&amp;": revisar forecast con KAM.","")</f>
        <v>3,690 kg a punto de salir del filtro: despachar primero (FEFO). </v>
      </c>
    </row>
    <row r="14" customFormat="false" ht="15" hidden="false" customHeight="false" outlineLevel="0" collapsed="false">
      <c r="A14" s="18" t="n">
        <f aca="false">Stock_Seguridad!A14</f>
        <v>30000258</v>
      </c>
      <c r="B14" s="18" t="str">
        <f aca="false">Stock_Seguridad!B14</f>
        <v>NECTAR WATTS NJA SIXPACK 30X200ML</v>
      </c>
      <c r="C14" s="18" t="str">
        <f aca="false">Stock_Seguridad!C14</f>
        <v>JUGOS Y NECTARES</v>
      </c>
      <c r="D14" s="18" t="str">
        <f aca="false">Stock_Seguridad!F14</f>
        <v>AY</v>
      </c>
      <c r="E14" s="19" t="str">
        <f aca="false">Stock_Seguridad!X14</f>
        <v>OK</v>
      </c>
      <c r="F14" s="20" t="n">
        <f aca="false">Stock_Seguridad!W14</f>
        <v>3.32675204231347</v>
      </c>
      <c r="G14" s="21" t="n">
        <f aca="false">Stock_Seguridad!T14</f>
        <v>165294</v>
      </c>
      <c r="H14" s="21" t="n">
        <f aca="false">Stock_Seguridad!R14</f>
        <v>50190.0088686619</v>
      </c>
      <c r="I14" s="21" t="n">
        <f aca="false">Stock_Seguridad!S14</f>
        <v>99876.3088686619</v>
      </c>
      <c r="J14" s="21" t="n">
        <f aca="false">Stock_Seguridad!U14</f>
        <v>0</v>
      </c>
      <c r="K14" s="22"/>
      <c r="L14" s="23" t="n">
        <v>0</v>
      </c>
      <c r="M14" s="23" t="n">
        <v>0</v>
      </c>
      <c r="N14" s="23" t="n">
        <v>0</v>
      </c>
      <c r="O14" s="24" t="n">
        <v>0.186316957787482</v>
      </c>
      <c r="P14" s="24" t="n">
        <f aca="false">IF(ISNUMBER(Stock_Seguridad!N14),Stock_Seguridad!N14,"")</f>
        <v>0.32054794520548</v>
      </c>
      <c r="Q14" s="24" t="n">
        <f aca="false">IF(AND(ISNUMBER(O14),ISNUMBER(P14)),P14-O14,"")</f>
        <v>0.134230987417998</v>
      </c>
      <c r="R14" s="23" t="n">
        <f aca="false">MAX(0,G14-N(L14))</f>
        <v>165294</v>
      </c>
      <c r="S14" s="23" t="n">
        <f aca="false">SUMIFS(Cadenas_vs_FCST!$D$17:$D$652,Cadenas_vs_FCST!$A$17:$A$652,A14)</f>
        <v>150780</v>
      </c>
      <c r="T14" s="23" t="n">
        <f aca="false">SUMIFS(Cadenas_vs_FCST!$E$17:$E$652,Cadenas_vs_FCST!$A$17:$A$652,A14)</f>
        <v>241835.54725364</v>
      </c>
      <c r="U14" s="24" t="n">
        <f aca="false">IF(T14&gt;0,S14/T14-1,"")</f>
        <v>-0.376518457636585</v>
      </c>
      <c r="V14" s="3" t="str">
        <f aca="false">IF(OR(E14="BAJO SS",E14="BAJO SS (XLIB CUBRE)"),"SÍ","")</f>
        <v/>
      </c>
      <c r="W14" s="3" t="str">
        <f aca="false">IF(AND(V14="",N(L14)&gt;=Parametros!$B$17,G14&gt;=H14,R14&lt;H14),"SÍ","")</f>
        <v/>
      </c>
      <c r="X14" s="3" t="str">
        <f aca="false">IF(OR(E14="SOBRE MAX VENDIBLE",N(N14)&gt;=Parametros!$B$17,N(M14)&gt;=Parametros!$B$17),"SÍ","")</f>
        <v/>
      </c>
      <c r="Y14" s="3" t="str">
        <f aca="false">IF(AND(ISNUMBER(U14),MAX(S14,T14)&gt;=Parametros!$B$15,ABS(N(U14))&gt;Parametros!$B$14),"SÍ","")</f>
        <v>SÍ</v>
      </c>
      <c r="Z14" s="3" t="n">
        <f aca="false">COUNTIF(V14:Y14,"SÍ")</f>
        <v>1</v>
      </c>
      <c r="AA14" s="3" t="n">
        <f aca="false">(3*(V14="SÍ")+2*(W14="SÍ")+2*(X14="SÍ")+(Y14="SÍ"))*IF(LEFT(D14,1)="A",3,IF(OR(LEFT(D14,1)="B",D14="SIN HIST"),2,1))</f>
        <v>3</v>
      </c>
      <c r="AB14" s="3" t="str">
        <f aca="false">IF(AA14&gt;=9,"1-ALTA",IF(AA14&gt;=4,"2-MEDIA",IF(AA14&gt;0,"3-BAJA","")))</f>
        <v>3-BAJA</v>
      </c>
      <c r="AC14" s="3" t="str">
        <f aca="false">IF(E14="BAJO SS","Stock + XLIB bajo el SS: riesgo real de quiebre, adelantar producción. ","")&amp;IF(E14="BAJO SS (XLIB CUBRE)","Disponible bajo el SS; depende de liberar "&amp;TEXT(J14,"#,##0")&amp;" kg"&amp;IF(ISNUMBER(K14)," el "&amp;TEXT(K14,"dd-mm"),"")&amp;". ","")&amp;IF(W14="SÍ","Stock parece sano pero "&amp;TEXT(L14,"#,##0")&amp;" kg no pasan filtro "&amp;Stock_Seguridad!O14&amp;": sin ellos queda bajo el SS para esa cadena. ","")&amp;IF(E14="SOBRE MAX VENDIBLE","Sobrestock vs vida útil: frenar producción/activar venta. ","")&amp;IF(N(N14)&gt;=Parametros!$B$17,TEXT(N14,"#,##0")&amp;" kg ya no los acepta ninguna cadena: venta intermedia/liquidación. ","")&amp;IF(N(M14)&gt;=Parametros!$B$17,TEXT(M14,"#,##0")&amp;" kg a punto de salir del filtro: despachar primero (FEFO). ","")&amp;IF(Y14="SÍ","Pedidos "&amp;IF(N(U14)&gt;0,"sobre","bajo")&amp;" FCST "&amp;TEXT(ABS(N(U14)),"0%")&amp;": revisar forecast con KAM.","")</f>
        <v>Pedidos bajo FCST 38%: revisar forecast con KAM.</v>
      </c>
    </row>
    <row r="15" customFormat="false" ht="15" hidden="false" customHeight="false" outlineLevel="0" collapsed="false">
      <c r="A15" s="18" t="n">
        <f aca="false">Stock_Seguridad!A15</f>
        <v>30000481</v>
      </c>
      <c r="B15" s="18" t="str">
        <f aca="false">Stock_Seguridad!B15</f>
        <v>LECHE LONCO EXTRA PROTEINA 12X1LT</v>
      </c>
      <c r="C15" s="18" t="str">
        <f aca="false">Stock_Seguridad!C15</f>
        <v>LECHES LIQUIDAS</v>
      </c>
      <c r="D15" s="18" t="str">
        <f aca="false">Stock_Seguridad!F15</f>
        <v>AX</v>
      </c>
      <c r="E15" s="19" t="str">
        <f aca="false">Stock_Seguridad!X15</f>
        <v>OK</v>
      </c>
      <c r="F15" s="20" t="n">
        <f aca="false">Stock_Seguridad!W15</f>
        <v>3.98102440565516</v>
      </c>
      <c r="G15" s="21" t="n">
        <f aca="false">Stock_Seguridad!T15</f>
        <v>114012</v>
      </c>
      <c r="H15" s="21" t="n">
        <f aca="false">Stock_Seguridad!R15</f>
        <v>29103.242122475</v>
      </c>
      <c r="I15" s="21" t="n">
        <f aca="false">Stock_Seguridad!S15</f>
        <v>69618.442122475</v>
      </c>
      <c r="J15" s="21" t="n">
        <f aca="false">Stock_Seguridad!U15</f>
        <v>47280</v>
      </c>
      <c r="K15" s="22" t="n">
        <v>46318</v>
      </c>
      <c r="L15" s="23" t="n">
        <v>972</v>
      </c>
      <c r="M15" s="23" t="n">
        <v>112992</v>
      </c>
      <c r="N15" s="23" t="n">
        <v>144</v>
      </c>
      <c r="O15" s="24" t="n">
        <v>0.169481283024485</v>
      </c>
      <c r="P15" s="24" t="n">
        <f aca="false">IF(ISNUMBER(Stock_Seguridad!N15),Stock_Seguridad!N15,"")</f>
        <v>0.259259259259259</v>
      </c>
      <c r="Q15" s="24" t="n">
        <f aca="false">IF(AND(ISNUMBER(O15),ISNUMBER(P15)),P15-O15,"")</f>
        <v>0.0897779762347747</v>
      </c>
      <c r="R15" s="23" t="n">
        <f aca="false">MAX(0,G15-N(L15))</f>
        <v>113040</v>
      </c>
      <c r="S15" s="23" t="n">
        <f aca="false">SUMIFS(Cadenas_vs_FCST!$D$17:$D$652,Cadenas_vs_FCST!$A$17:$A$652,A15)</f>
        <v>134016</v>
      </c>
      <c r="T15" s="23" t="n">
        <f aca="false">SUMIFS(Cadenas_vs_FCST!$E$17:$E$652,Cadenas_vs_FCST!$A$17:$A$652,A15)</f>
        <v>139268.353681915</v>
      </c>
      <c r="U15" s="24" t="n">
        <f aca="false">IF(T15&gt;0,S15/T15-1,"")</f>
        <v>-0.0377139065915235</v>
      </c>
      <c r="V15" s="3" t="str">
        <f aca="false">IF(OR(E15="BAJO SS",E15="BAJO SS (XLIB CUBRE)"),"SÍ","")</f>
        <v/>
      </c>
      <c r="W15" s="3" t="str">
        <f aca="false">IF(AND(V15="",N(L15)&gt;=Parametros!$B$17,G15&gt;=H15,R15&lt;H15),"SÍ","")</f>
        <v/>
      </c>
      <c r="X15" s="3" t="str">
        <f aca="false">IF(OR(E15="SOBRE MAX VENDIBLE",N(N15)&gt;=Parametros!$B$17,N(M15)&gt;=Parametros!$B$17),"SÍ","")</f>
        <v>SÍ</v>
      </c>
      <c r="Y15" s="3" t="str">
        <f aca="false">IF(AND(ISNUMBER(U15),MAX(S15,T15)&gt;=Parametros!$B$15,ABS(N(U15))&gt;Parametros!$B$14),"SÍ","")</f>
        <v/>
      </c>
      <c r="Z15" s="3" t="n">
        <f aca="false">COUNTIF(V15:Y15,"SÍ")</f>
        <v>1</v>
      </c>
      <c r="AA15" s="3" t="n">
        <f aca="false">(3*(V15="SÍ")+2*(W15="SÍ")+2*(X15="SÍ")+(Y15="SÍ"))*IF(LEFT(D15,1)="A",3,IF(OR(LEFT(D15,1)="B",D15="SIN HIST"),2,1))</f>
        <v>6</v>
      </c>
      <c r="AB15" s="3" t="str">
        <f aca="false">IF(AA15&gt;=9,"1-ALTA",IF(AA15&gt;=4,"2-MEDIA",IF(AA15&gt;0,"3-BAJA","")))</f>
        <v>2-MEDIA</v>
      </c>
      <c r="AC15" s="3" t="str">
        <f aca="false">IF(E15="BAJO SS","Stock + XLIB bajo el SS: riesgo real de quiebre, adelantar producción. ","")&amp;IF(E15="BAJO SS (XLIB CUBRE)","Disponible bajo el SS; depende de liberar "&amp;TEXT(J15,"#,##0")&amp;" kg"&amp;IF(ISNUMBER(K15)," el "&amp;TEXT(K15,"dd-mm"),"")&amp;". ","")&amp;IF(W15="SÍ","Stock parece sano pero "&amp;TEXT(L15,"#,##0")&amp;" kg no pasan filtro "&amp;Stock_Seguridad!O15&amp;": sin ellos queda bajo el SS para esa cadena. ","")&amp;IF(E15="SOBRE MAX VENDIBLE","Sobrestock vs vida útil: frenar producción/activar venta. ","")&amp;IF(N(N15)&gt;=Parametros!$B$17,TEXT(N15,"#,##0")&amp;" kg ya no los acepta ninguna cadena: venta intermedia/liquidación. ","")&amp;IF(N(M15)&gt;=Parametros!$B$17,TEXT(M15,"#,##0")&amp;" kg a punto de salir del filtro: despachar primero (FEFO). ","")&amp;IF(Y15="SÍ","Pedidos "&amp;IF(N(U15)&gt;0,"sobre","bajo")&amp;" FCST "&amp;TEXT(ABS(N(U15)),"0%")&amp;": revisar forecast con KAM.","")</f>
        <v>112,992 kg a punto de salir del filtro: despachar primero (FEFO). </v>
      </c>
    </row>
    <row r="16" customFormat="false" ht="15" hidden="false" customHeight="false" outlineLevel="0" collapsed="false">
      <c r="A16" s="18" t="n">
        <f aca="false">Stock_Seguridad!A16</f>
        <v>30000309</v>
      </c>
      <c r="B16" s="18" t="str">
        <f aca="false">Stock_Seguridad!B16</f>
        <v>YOGU YOGU MORA 30X200GR</v>
      </c>
      <c r="C16" s="18" t="str">
        <f aca="false">Stock_Seguridad!C16</f>
        <v>LECHES LIQUIDAS</v>
      </c>
      <c r="D16" s="18" t="str">
        <f aca="false">Stock_Seguridad!F16</f>
        <v>AX</v>
      </c>
      <c r="E16" s="19" t="str">
        <f aca="false">Stock_Seguridad!X16</f>
        <v>OK</v>
      </c>
      <c r="F16" s="20" t="n">
        <f aca="false">Stock_Seguridad!W16</f>
        <v>3.38678745050621</v>
      </c>
      <c r="G16" s="21" t="n">
        <f aca="false">Stock_Seguridad!T16</f>
        <v>136686</v>
      </c>
      <c r="H16" s="21" t="n">
        <f aca="false">Stock_Seguridad!R16</f>
        <v>5302.36331828006</v>
      </c>
      <c r="I16" s="21" t="n">
        <f aca="false">Stock_Seguridad!S16</f>
        <v>45660.9633182801</v>
      </c>
      <c r="J16" s="21" t="n">
        <f aca="false">Stock_Seguridad!U16</f>
        <v>0</v>
      </c>
      <c r="K16" s="22"/>
      <c r="L16" s="23" t="n">
        <v>1188</v>
      </c>
      <c r="M16" s="23" t="n">
        <v>32928</v>
      </c>
      <c r="N16" s="23" t="n">
        <v>0</v>
      </c>
      <c r="O16" s="24" t="n">
        <v>0.105550998809366</v>
      </c>
      <c r="P16" s="24" t="n">
        <f aca="false">IF(ISNUMBER(Stock_Seguridad!N16),Stock_Seguridad!N16,"")</f>
        <v>0.240816326530612</v>
      </c>
      <c r="Q16" s="24" t="n">
        <f aca="false">IF(AND(ISNUMBER(O16),ISNUMBER(P16)),P16-O16,"")</f>
        <v>0.135265327721246</v>
      </c>
      <c r="R16" s="23" t="n">
        <f aca="false">MAX(0,G16-N(L16))</f>
        <v>135498</v>
      </c>
      <c r="S16" s="23" t="n">
        <f aca="false">SUMIFS(Cadenas_vs_FCST!$D$17:$D$652,Cadenas_vs_FCST!$A$17:$A$652,A16)</f>
        <v>151452</v>
      </c>
      <c r="T16" s="23" t="n">
        <f aca="false">SUMIFS(Cadenas_vs_FCST!$E$17:$E$652,Cadenas_vs_FCST!$A$17:$A$652,A16)</f>
        <v>156937.080262008</v>
      </c>
      <c r="U16" s="24" t="n">
        <f aca="false">IF(T16&gt;0,S16/T16-1,"")</f>
        <v>-0.03495082394072</v>
      </c>
      <c r="V16" s="3" t="str">
        <f aca="false">IF(OR(E16="BAJO SS",E16="BAJO SS (XLIB CUBRE)"),"SÍ","")</f>
        <v/>
      </c>
      <c r="W16" s="3" t="str">
        <f aca="false">IF(AND(V16="",N(L16)&gt;=Parametros!$B$17,G16&gt;=H16,R16&lt;H16),"SÍ","")</f>
        <v/>
      </c>
      <c r="X16" s="3" t="str">
        <f aca="false">IF(OR(E16="SOBRE MAX VENDIBLE",N(N16)&gt;=Parametros!$B$17,N(M16)&gt;=Parametros!$B$17),"SÍ","")</f>
        <v>SÍ</v>
      </c>
      <c r="Y16" s="3" t="str">
        <f aca="false">IF(AND(ISNUMBER(U16),MAX(S16,T16)&gt;=Parametros!$B$15,ABS(N(U16))&gt;Parametros!$B$14),"SÍ","")</f>
        <v/>
      </c>
      <c r="Z16" s="3" t="n">
        <f aca="false">COUNTIF(V16:Y16,"SÍ")</f>
        <v>1</v>
      </c>
      <c r="AA16" s="3" t="n">
        <f aca="false">(3*(V16="SÍ")+2*(W16="SÍ")+2*(X16="SÍ")+(Y16="SÍ"))*IF(LEFT(D16,1)="A",3,IF(OR(LEFT(D16,1)="B",D16="SIN HIST"),2,1))</f>
        <v>6</v>
      </c>
      <c r="AB16" s="3" t="str">
        <f aca="false">IF(AA16&gt;=9,"1-ALTA",IF(AA16&gt;=4,"2-MEDIA",IF(AA16&gt;0,"3-BAJA","")))</f>
        <v>2-MEDIA</v>
      </c>
      <c r="AC16" s="3" t="str">
        <f aca="false">IF(E16="BAJO SS","Stock + XLIB bajo el SS: riesgo real de quiebre, adelantar producción. ","")&amp;IF(E16="BAJO SS (XLIB CUBRE)","Disponible bajo el SS; depende de liberar "&amp;TEXT(J16,"#,##0")&amp;" kg"&amp;IF(ISNUMBER(K16)," el "&amp;TEXT(K16,"dd-mm"),"")&amp;". ","")&amp;IF(W16="SÍ","Stock parece sano pero "&amp;TEXT(L16,"#,##0")&amp;" kg no pasan filtro "&amp;Stock_Seguridad!O16&amp;": sin ellos queda bajo el SS para esa cadena. ","")&amp;IF(E16="SOBRE MAX VENDIBLE","Sobrestock vs vida útil: frenar producción/activar venta. ","")&amp;IF(N(N16)&gt;=Parametros!$B$17,TEXT(N16,"#,##0")&amp;" kg ya no los acepta ninguna cadena: venta intermedia/liquidación. ","")&amp;IF(N(M16)&gt;=Parametros!$B$17,TEXT(M16,"#,##0")&amp;" kg a punto de salir del filtro: despachar primero (FEFO). ","")&amp;IF(Y16="SÍ","Pedidos "&amp;IF(N(U16)&gt;0,"sobre","bajo")&amp;" FCST "&amp;TEXT(ABS(N(U16)),"0%")&amp;": revisar forecast con KAM.","")</f>
        <v>32,928 kg a punto de salir del filtro: despachar primero (FEFO). </v>
      </c>
    </row>
    <row r="17" customFormat="false" ht="15" hidden="false" customHeight="false" outlineLevel="0" collapsed="false">
      <c r="A17" s="18" t="n">
        <f aca="false">Stock_Seguridad!A17</f>
        <v>30000400</v>
      </c>
      <c r="B17" s="18" t="str">
        <f aca="false">Stock_Seguridad!B17</f>
        <v>LECHE CHOC LONCO 30X200ML</v>
      </c>
      <c r="C17" s="18" t="str">
        <f aca="false">Stock_Seguridad!C17</f>
        <v>LECHES LIQUIDAS</v>
      </c>
      <c r="D17" s="18" t="str">
        <f aca="false">Stock_Seguridad!F17</f>
        <v>AX</v>
      </c>
      <c r="E17" s="19" t="str">
        <f aca="false">Stock_Seguridad!X17</f>
        <v>OK</v>
      </c>
      <c r="F17" s="20" t="n">
        <f aca="false">Stock_Seguridad!W17</f>
        <v>4.2464085707329</v>
      </c>
      <c r="G17" s="21" t="n">
        <f aca="false">Stock_Seguridad!T17</f>
        <v>57756</v>
      </c>
      <c r="H17" s="21" t="n">
        <f aca="false">Stock_Seguridad!R17</f>
        <v>14461.3431128841</v>
      </c>
      <c r="I17" s="21" t="n">
        <f aca="false">Stock_Seguridad!S17</f>
        <v>46495.9431128841</v>
      </c>
      <c r="J17" s="21" t="n">
        <f aca="false">Stock_Seguridad!U17</f>
        <v>78276</v>
      </c>
      <c r="K17" s="22" t="n">
        <v>46320</v>
      </c>
      <c r="L17" s="23" t="n">
        <v>0</v>
      </c>
      <c r="M17" s="23" t="n">
        <v>72</v>
      </c>
      <c r="N17" s="23" t="n">
        <v>0</v>
      </c>
      <c r="O17" s="24" t="n">
        <v>0.0477003144793374</v>
      </c>
      <c r="P17" s="24" t="n">
        <f aca="false">IF(ISNUMBER(Stock_Seguridad!N17),Stock_Seguridad!N17,"")</f>
        <v>0.238317757009346</v>
      </c>
      <c r="Q17" s="24" t="n">
        <f aca="false">IF(AND(ISNUMBER(O17),ISNUMBER(P17)),P17-O17,"")</f>
        <v>0.190617442530008</v>
      </c>
      <c r="R17" s="23" t="n">
        <f aca="false">MAX(0,G17-N(L17))</f>
        <v>57756</v>
      </c>
      <c r="S17" s="23" t="n">
        <f aca="false">SUMIFS(Cadenas_vs_FCST!$D$17:$D$652,Cadenas_vs_FCST!$A$17:$A$652,A17)</f>
        <v>174120</v>
      </c>
      <c r="T17" s="23" t="n">
        <f aca="false">SUMIFS(Cadenas_vs_FCST!$E$17:$E$652,Cadenas_vs_FCST!$A$17:$A$652,A17)</f>
        <v>145442.721180175</v>
      </c>
      <c r="U17" s="24" t="n">
        <f aca="false">IF(T17&gt;0,S17/T17-1,"")</f>
        <v>0.197172320396148</v>
      </c>
      <c r="V17" s="3" t="str">
        <f aca="false">IF(OR(E17="BAJO SS",E17="BAJO SS (XLIB CUBRE)"),"SÍ","")</f>
        <v/>
      </c>
      <c r="W17" s="3" t="str">
        <f aca="false">IF(AND(V17="",N(L17)&gt;=Parametros!$B$17,G17&gt;=H17,R17&lt;H17),"SÍ","")</f>
        <v/>
      </c>
      <c r="X17" s="3" t="str">
        <f aca="false">IF(OR(E17="SOBRE MAX VENDIBLE",N(N17)&gt;=Parametros!$B$17,N(M17)&gt;=Parametros!$B$17),"SÍ","")</f>
        <v/>
      </c>
      <c r="Y17" s="3" t="str">
        <f aca="false">IF(AND(ISNUMBER(U17),MAX(S17,T17)&gt;=Parametros!$B$15,ABS(N(U17))&gt;Parametros!$B$14),"SÍ","")</f>
        <v/>
      </c>
      <c r="Z17" s="3" t="n">
        <f aca="false">COUNTIF(V17:Y17,"SÍ")</f>
        <v>0</v>
      </c>
      <c r="AA17" s="3" t="n">
        <f aca="false">(3*(V17="SÍ")+2*(W17="SÍ")+2*(X17="SÍ")+(Y17="SÍ"))*IF(LEFT(D17,1)="A",3,IF(OR(LEFT(D17,1)="B",D17="SIN HIST"),2,1))</f>
        <v>0</v>
      </c>
      <c r="AB17" s="3" t="str">
        <f aca="false">IF(AA17&gt;=9,"1-ALTA",IF(AA17&gt;=4,"2-MEDIA",IF(AA17&gt;0,"3-BAJA","")))</f>
        <v/>
      </c>
      <c r="AC17" s="3" t="str">
        <f aca="false">IF(E17="BAJO SS","Stock + XLIB bajo el SS: riesgo real de quiebre, adelantar producción. ","")&amp;IF(E17="BAJO SS (XLIB CUBRE)","Disponible bajo el SS; depende de liberar "&amp;TEXT(J17,"#,##0")&amp;" kg"&amp;IF(ISNUMBER(K17)," el "&amp;TEXT(K17,"dd-mm"),"")&amp;". ","")&amp;IF(W17="SÍ","Stock parece sano pero "&amp;TEXT(L17,"#,##0")&amp;" kg no pasan filtro "&amp;Stock_Seguridad!O17&amp;": sin ellos queda bajo el SS para esa cadena. ","")&amp;IF(E17="SOBRE MAX VENDIBLE","Sobrestock vs vida útil: frenar producción/activar venta. ","")&amp;IF(N(N17)&gt;=Parametros!$B$17,TEXT(N17,"#,##0")&amp;" kg ya no los acepta ninguna cadena: venta intermedia/liquidación. ","")&amp;IF(N(M17)&gt;=Parametros!$B$17,TEXT(M17,"#,##0")&amp;" kg a punto de salir del filtro: despachar primero (FEFO). ","")&amp;IF(Y17="SÍ","Pedidos "&amp;IF(N(U17)&gt;0,"sobre","bajo")&amp;" FCST "&amp;TEXT(ABS(N(U17)),"0%")&amp;": revisar forecast con KAM.","")</f>
        <v/>
      </c>
    </row>
    <row r="18" customFormat="false" ht="15" hidden="false" customHeight="false" outlineLevel="0" collapsed="false">
      <c r="A18" s="18" t="n">
        <f aca="false">Stock_Seguridad!A18</f>
        <v>30000514</v>
      </c>
      <c r="B18" s="18" t="str">
        <f aca="false">Stock_Seguridad!B18</f>
        <v>LECHE LONCO PROTEIN MILK CAPP 12X1LT</v>
      </c>
      <c r="C18" s="18" t="str">
        <f aca="false">Stock_Seguridad!C18</f>
        <v>LECHES LIQUIDAS</v>
      </c>
      <c r="D18" s="18" t="str">
        <f aca="false">Stock_Seguridad!F18</f>
        <v>AX</v>
      </c>
      <c r="E18" s="19" t="str">
        <f aca="false">Stock_Seguridad!X18</f>
        <v>BAJO P.REORDEN</v>
      </c>
      <c r="F18" s="20" t="n">
        <f aca="false">Stock_Seguridad!W18</f>
        <v>1.1256679200475</v>
      </c>
      <c r="G18" s="21" t="n">
        <f aca="false">Stock_Seguridad!T18</f>
        <v>31284</v>
      </c>
      <c r="H18" s="21" t="n">
        <f aca="false">Stock_Seguridad!R18</f>
        <v>14942.2807464746</v>
      </c>
      <c r="I18" s="21" t="n">
        <f aca="false">Stock_Seguridad!S18</f>
        <v>42733.7807464746</v>
      </c>
      <c r="J18" s="21" t="n">
        <f aca="false">Stock_Seguridad!U18</f>
        <v>0</v>
      </c>
      <c r="K18" s="22"/>
      <c r="L18" s="23" t="n">
        <v>2976</v>
      </c>
      <c r="M18" s="23" t="n">
        <v>3672</v>
      </c>
      <c r="N18" s="23" t="n">
        <v>0</v>
      </c>
      <c r="O18" s="24" t="n">
        <v>0.0885895465026903</v>
      </c>
      <c r="P18" s="24" t="n">
        <f aca="false">IF(ISNUMBER(Stock_Seguridad!N18),Stock_Seguridad!N18,"")</f>
        <v>0.21875</v>
      </c>
      <c r="Q18" s="24" t="n">
        <f aca="false">IF(AND(ISNUMBER(O18),ISNUMBER(P18)),P18-O18,"")</f>
        <v>0.13016045349731</v>
      </c>
      <c r="R18" s="23" t="n">
        <f aca="false">MAX(0,G18-N(L18))</f>
        <v>28308</v>
      </c>
      <c r="S18" s="23" t="n">
        <f aca="false">SUMIFS(Cadenas_vs_FCST!$D$17:$D$652,Cadenas_vs_FCST!$A$17:$A$652,A18)</f>
        <v>93684</v>
      </c>
      <c r="T18" s="23" t="n">
        <f aca="false">SUMIFS(Cadenas_vs_FCST!$E$17:$E$652,Cadenas_vs_FCST!$A$17:$A$652,A18)</f>
        <v>78905.3768299531</v>
      </c>
      <c r="U18" s="24" t="n">
        <f aca="false">IF(T18&gt;0,S18/T18-1,"")</f>
        <v>0.187295514751751</v>
      </c>
      <c r="V18" s="3" t="str">
        <f aca="false">IF(OR(E18="BAJO SS",E18="BAJO SS (XLIB CUBRE)"),"SÍ","")</f>
        <v/>
      </c>
      <c r="W18" s="3" t="str">
        <f aca="false">IF(AND(V18="",N(L18)&gt;=Parametros!$B$17,G18&gt;=H18,R18&lt;H18),"SÍ","")</f>
        <v/>
      </c>
      <c r="X18" s="3" t="str">
        <f aca="false">IF(OR(E18="SOBRE MAX VENDIBLE",N(N18)&gt;=Parametros!$B$17,N(M18)&gt;=Parametros!$B$17),"SÍ","")</f>
        <v>SÍ</v>
      </c>
      <c r="Y18" s="3" t="str">
        <f aca="false">IF(AND(ISNUMBER(U18),MAX(S18,T18)&gt;=Parametros!$B$15,ABS(N(U18))&gt;Parametros!$B$14),"SÍ","")</f>
        <v/>
      </c>
      <c r="Z18" s="3" t="n">
        <f aca="false">COUNTIF(V18:Y18,"SÍ")</f>
        <v>1</v>
      </c>
      <c r="AA18" s="3" t="n">
        <f aca="false">(3*(V18="SÍ")+2*(W18="SÍ")+2*(X18="SÍ")+(Y18="SÍ"))*IF(LEFT(D18,1)="A",3,IF(OR(LEFT(D18,1)="B",D18="SIN HIST"),2,1))</f>
        <v>6</v>
      </c>
      <c r="AB18" s="3" t="str">
        <f aca="false">IF(AA18&gt;=9,"1-ALTA",IF(AA18&gt;=4,"2-MEDIA",IF(AA18&gt;0,"3-BAJA","")))</f>
        <v>2-MEDIA</v>
      </c>
      <c r="AC18" s="3" t="str">
        <f aca="false">IF(E18="BAJO SS","Stock + XLIB bajo el SS: riesgo real de quiebre, adelantar producción. ","")&amp;IF(E18="BAJO SS (XLIB CUBRE)","Disponible bajo el SS; depende de liberar "&amp;TEXT(J18,"#,##0")&amp;" kg"&amp;IF(ISNUMBER(K18)," el "&amp;TEXT(K18,"dd-mm"),"")&amp;". ","")&amp;IF(W18="SÍ","Stock parece sano pero "&amp;TEXT(L18,"#,##0")&amp;" kg no pasan filtro "&amp;Stock_Seguridad!O18&amp;": sin ellos queda bajo el SS para esa cadena. ","")&amp;IF(E18="SOBRE MAX VENDIBLE","Sobrestock vs vida útil: frenar producción/activar venta. ","")&amp;IF(N(N18)&gt;=Parametros!$B$17,TEXT(N18,"#,##0")&amp;" kg ya no los acepta ninguna cadena: venta intermedia/liquidación. ","")&amp;IF(N(M18)&gt;=Parametros!$B$17,TEXT(M18,"#,##0")&amp;" kg a punto de salir del filtro: despachar primero (FEFO). ","")&amp;IF(Y18="SÍ","Pedidos "&amp;IF(N(U18)&gt;0,"sobre","bajo")&amp;" FCST "&amp;TEXT(ABS(N(U18)),"0%")&amp;": revisar forecast con KAM.","")</f>
        <v>3,672 kg a punto de salir del filtro: despachar primero (FEFO). </v>
      </c>
    </row>
    <row r="19" customFormat="false" ht="15" hidden="false" customHeight="false" outlineLevel="0" collapsed="false">
      <c r="A19" s="18" t="n">
        <f aca="false">Stock_Seguridad!A19</f>
        <v>30000305</v>
      </c>
      <c r="B19" s="18" t="str">
        <f aca="false">Stock_Seguridad!B19</f>
        <v>YOGU YOGU FRUTILLA 30X200GR</v>
      </c>
      <c r="C19" s="18" t="str">
        <f aca="false">Stock_Seguridad!C19</f>
        <v>LECHES LIQUIDAS</v>
      </c>
      <c r="D19" s="18" t="str">
        <f aca="false">Stock_Seguridad!F19</f>
        <v>AX</v>
      </c>
      <c r="E19" s="19" t="str">
        <f aca="false">Stock_Seguridad!X19</f>
        <v>OK</v>
      </c>
      <c r="F19" s="20" t="n">
        <f aca="false">Stock_Seguridad!W19</f>
        <v>3.8535217987714</v>
      </c>
      <c r="G19" s="21" t="n">
        <f aca="false">Stock_Seguridad!T19</f>
        <v>96918</v>
      </c>
      <c r="H19" s="21" t="n">
        <f aca="false">Stock_Seguridad!R19</f>
        <v>6844.43210254454</v>
      </c>
      <c r="I19" s="21" t="n">
        <f aca="false">Stock_Seguridad!S19</f>
        <v>31994.9321025445</v>
      </c>
      <c r="J19" s="21" t="n">
        <f aca="false">Stock_Seguridad!U19</f>
        <v>0</v>
      </c>
      <c r="K19" s="22"/>
      <c r="L19" s="23" t="n">
        <v>960</v>
      </c>
      <c r="M19" s="23" t="n">
        <v>41184</v>
      </c>
      <c r="N19" s="23" t="n">
        <v>0</v>
      </c>
      <c r="O19" s="24" t="n">
        <v>0.130090320169428</v>
      </c>
      <c r="P19" s="24" t="n">
        <f aca="false">IF(ISNUMBER(Stock_Seguridad!N19),Stock_Seguridad!N19,"")</f>
        <v>0.220408163265306</v>
      </c>
      <c r="Q19" s="24" t="n">
        <f aca="false">IF(AND(ISNUMBER(O19),ISNUMBER(P19)),P19-O19,"")</f>
        <v>0.0903178430958779</v>
      </c>
      <c r="R19" s="23" t="n">
        <f aca="false">MAX(0,G19-N(L19))</f>
        <v>95958</v>
      </c>
      <c r="S19" s="23" t="n">
        <f aca="false">SUMIFS(Cadenas_vs_FCST!$D$17:$D$652,Cadenas_vs_FCST!$A$17:$A$652,A19)</f>
        <v>83280</v>
      </c>
      <c r="T19" s="23" t="n">
        <f aca="false">SUMIFS(Cadenas_vs_FCST!$E$17:$E$652,Cadenas_vs_FCST!$A$17:$A$652,A19)</f>
        <v>85037.8051594348</v>
      </c>
      <c r="U19" s="24" t="n">
        <f aca="false">IF(T19&gt;0,S19/T19-1,"")</f>
        <v>-0.0206708669883842</v>
      </c>
      <c r="V19" s="3" t="str">
        <f aca="false">IF(OR(E19="BAJO SS",E19="BAJO SS (XLIB CUBRE)"),"SÍ","")</f>
        <v/>
      </c>
      <c r="W19" s="3" t="str">
        <f aca="false">IF(AND(V19="",N(L19)&gt;=Parametros!$B$17,G19&gt;=H19,R19&lt;H19),"SÍ","")</f>
        <v/>
      </c>
      <c r="X19" s="3" t="str">
        <f aca="false">IF(OR(E19="SOBRE MAX VENDIBLE",N(N19)&gt;=Parametros!$B$17,N(M19)&gt;=Parametros!$B$17),"SÍ","")</f>
        <v>SÍ</v>
      </c>
      <c r="Y19" s="3" t="str">
        <f aca="false">IF(AND(ISNUMBER(U19),MAX(S19,T19)&gt;=Parametros!$B$15,ABS(N(U19))&gt;Parametros!$B$14),"SÍ","")</f>
        <v/>
      </c>
      <c r="Z19" s="3" t="n">
        <f aca="false">COUNTIF(V19:Y19,"SÍ")</f>
        <v>1</v>
      </c>
      <c r="AA19" s="3" t="n">
        <f aca="false">(3*(V19="SÍ")+2*(W19="SÍ")+2*(X19="SÍ")+(Y19="SÍ"))*IF(LEFT(D19,1)="A",3,IF(OR(LEFT(D19,1)="B",D19="SIN HIST"),2,1))</f>
        <v>6</v>
      </c>
      <c r="AB19" s="3" t="str">
        <f aca="false">IF(AA19&gt;=9,"1-ALTA",IF(AA19&gt;=4,"2-MEDIA",IF(AA19&gt;0,"3-BAJA","")))</f>
        <v>2-MEDIA</v>
      </c>
      <c r="AC19" s="3" t="str">
        <f aca="false">IF(E19="BAJO SS","Stock + XLIB bajo el SS: riesgo real de quiebre, adelantar producción. ","")&amp;IF(E19="BAJO SS (XLIB CUBRE)","Disponible bajo el SS; depende de liberar "&amp;TEXT(J19,"#,##0")&amp;" kg"&amp;IF(ISNUMBER(K19)," el "&amp;TEXT(K19,"dd-mm"),"")&amp;". ","")&amp;IF(W19="SÍ","Stock parece sano pero "&amp;TEXT(L19,"#,##0")&amp;" kg no pasan filtro "&amp;Stock_Seguridad!O19&amp;": sin ellos queda bajo el SS para esa cadena. ","")&amp;IF(E19="SOBRE MAX VENDIBLE","Sobrestock vs vida útil: frenar producción/activar venta. ","")&amp;IF(N(N19)&gt;=Parametros!$B$17,TEXT(N19,"#,##0")&amp;" kg ya no los acepta ninguna cadena: venta intermedia/liquidación. ","")&amp;IF(N(M19)&gt;=Parametros!$B$17,TEXT(M19,"#,##0")&amp;" kg a punto de salir del filtro: despachar primero (FEFO). ","")&amp;IF(Y19="SÍ","Pedidos "&amp;IF(N(U19)&gt;0,"sobre","bajo")&amp;" FCST "&amp;TEXT(ABS(N(U19)),"0%")&amp;": revisar forecast con KAM.","")</f>
        <v>41,184 kg a punto de salir del filtro: despachar primero (FEFO). </v>
      </c>
    </row>
    <row r="20" customFormat="false" ht="15" hidden="false" customHeight="false" outlineLevel="0" collapsed="false">
      <c r="A20" s="18" t="n">
        <f aca="false">Stock_Seguridad!A20</f>
        <v>30002329</v>
      </c>
      <c r="B20" s="18" t="str">
        <f aca="false">Stock_Seguridad!B20</f>
        <v>LECHE LONCO PROTEIN CAPPUCCINO 30X200ML</v>
      </c>
      <c r="C20" s="18" t="str">
        <f aca="false">Stock_Seguridad!C20</f>
        <v>LECHES LIQUIDAS</v>
      </c>
      <c r="D20" s="18" t="str">
        <f aca="false">Stock_Seguridad!F20</f>
        <v>AX</v>
      </c>
      <c r="E20" s="19" t="str">
        <f aca="false">Stock_Seguridad!X20</f>
        <v>OK</v>
      </c>
      <c r="F20" s="20" t="n">
        <f aca="false">Stock_Seguridad!W20</f>
        <v>3.60942520528383</v>
      </c>
      <c r="G20" s="21" t="n">
        <f aca="false">Stock_Seguridad!T20</f>
        <v>86946</v>
      </c>
      <c r="H20" s="21" t="n">
        <f aca="false">Stock_Seguridad!R20</f>
        <v>11825.1547116507</v>
      </c>
      <c r="I20" s="21" t="n">
        <f aca="false">Stock_Seguridad!S20</f>
        <v>35913.7547116507</v>
      </c>
      <c r="J20" s="21" t="n">
        <f aca="false">Stock_Seguridad!U20</f>
        <v>0</v>
      </c>
      <c r="K20" s="22"/>
      <c r="L20" s="23" t="n">
        <v>0</v>
      </c>
      <c r="M20" s="23" t="n">
        <v>0</v>
      </c>
      <c r="N20" s="23" t="n">
        <v>0</v>
      </c>
      <c r="O20" s="24" t="n">
        <v>0.106720723207508</v>
      </c>
      <c r="P20" s="24" t="str">
        <f aca="false">IF(ISNUMBER(Stock_Seguridad!N20),Stock_Seguridad!N20,"")</f>
        <v/>
      </c>
      <c r="Q20" s="24" t="str">
        <f aca="false">IF(AND(ISNUMBER(O20),ISNUMBER(P20)),P20-O20,"")</f>
        <v/>
      </c>
      <c r="R20" s="23" t="n">
        <f aca="false">MAX(0,G20-N(L20))</f>
        <v>86946</v>
      </c>
      <c r="S20" s="23" t="n">
        <f aca="false">SUMIFS(Cadenas_vs_FCST!$D$17:$D$652,Cadenas_vs_FCST!$A$17:$A$652,A20)</f>
        <v>83460</v>
      </c>
      <c r="T20" s="23" t="n">
        <f aca="false">SUMIFS(Cadenas_vs_FCST!$E$17:$E$652,Cadenas_vs_FCST!$A$17:$A$652,A20)</f>
        <v>81679.086939072</v>
      </c>
      <c r="U20" s="24" t="n">
        <f aca="false">IF(T20&gt;0,S20/T20-1,"")</f>
        <v>0.0218037826776447</v>
      </c>
      <c r="V20" s="3" t="str">
        <f aca="false">IF(OR(E20="BAJO SS",E20="BAJO SS (XLIB CUBRE)"),"SÍ","")</f>
        <v/>
      </c>
      <c r="W20" s="3" t="str">
        <f aca="false">IF(AND(V20="",N(L20)&gt;=Parametros!$B$17,G20&gt;=H20,R20&lt;H20),"SÍ","")</f>
        <v/>
      </c>
      <c r="X20" s="3" t="str">
        <f aca="false">IF(OR(E20="SOBRE MAX VENDIBLE",N(N20)&gt;=Parametros!$B$17,N(M20)&gt;=Parametros!$B$17),"SÍ","")</f>
        <v/>
      </c>
      <c r="Y20" s="3" t="str">
        <f aca="false">IF(AND(ISNUMBER(U20),MAX(S20,T20)&gt;=Parametros!$B$15,ABS(N(U20))&gt;Parametros!$B$14),"SÍ","")</f>
        <v/>
      </c>
      <c r="Z20" s="3" t="n">
        <f aca="false">COUNTIF(V20:Y20,"SÍ")</f>
        <v>0</v>
      </c>
      <c r="AA20" s="3" t="n">
        <f aca="false">(3*(V20="SÍ")+2*(W20="SÍ")+2*(X20="SÍ")+(Y20="SÍ"))*IF(LEFT(D20,1)="A",3,IF(OR(LEFT(D20,1)="B",D20="SIN HIST"),2,1))</f>
        <v>0</v>
      </c>
      <c r="AB20" s="3" t="str">
        <f aca="false">IF(AA20&gt;=9,"1-ALTA",IF(AA20&gt;=4,"2-MEDIA",IF(AA20&gt;0,"3-BAJA","")))</f>
        <v/>
      </c>
      <c r="AC20" s="3" t="str">
        <f aca="false">IF(E20="BAJO SS","Stock + XLIB bajo el SS: riesgo real de quiebre, adelantar producción. ","")&amp;IF(E20="BAJO SS (XLIB CUBRE)","Disponible bajo el SS; depende de liberar "&amp;TEXT(J20,"#,##0")&amp;" kg"&amp;IF(ISNUMBER(K20)," el "&amp;TEXT(K20,"dd-mm"),"")&amp;". ","")&amp;IF(W20="SÍ","Stock parece sano pero "&amp;TEXT(L20,"#,##0")&amp;" kg no pasan filtro "&amp;Stock_Seguridad!O20&amp;": sin ellos queda bajo el SS para esa cadena. ","")&amp;IF(E20="SOBRE MAX VENDIBLE","Sobrestock vs vida útil: frenar producción/activar venta. ","")&amp;IF(N(N20)&gt;=Parametros!$B$17,TEXT(N20,"#,##0")&amp;" kg ya no los acepta ninguna cadena: venta intermedia/liquidación. ","")&amp;IF(N(M20)&gt;=Parametros!$B$17,TEXT(M20,"#,##0")&amp;" kg a punto de salir del filtro: despachar primero (FEFO). ","")&amp;IF(Y20="SÍ","Pedidos "&amp;IF(N(U20)&gt;0,"sobre","bajo")&amp;" FCST "&amp;TEXT(ABS(N(U20)),"0%")&amp;": revisar forecast con KAM.","")</f>
        <v/>
      </c>
    </row>
    <row r="21" customFormat="false" ht="15" hidden="false" customHeight="false" outlineLevel="0" collapsed="false">
      <c r="A21" s="18" t="n">
        <f aca="false">Stock_Seguridad!A21</f>
        <v>30000384</v>
      </c>
      <c r="B21" s="18" t="str">
        <f aca="false">Stock_Seguridad!B21</f>
        <v>CREMA S/LAC LONCO 30X200ML</v>
      </c>
      <c r="C21" s="18" t="str">
        <f aca="false">Stock_Seguridad!C21</f>
        <v>CREMA</v>
      </c>
      <c r="D21" s="18" t="str">
        <f aca="false">Stock_Seguridad!F21</f>
        <v>AX</v>
      </c>
      <c r="E21" s="19" t="str">
        <f aca="false">Stock_Seguridad!X21</f>
        <v>OK</v>
      </c>
      <c r="F21" s="20" t="n">
        <f aca="false">Stock_Seguridad!W21</f>
        <v>2.38230303538136</v>
      </c>
      <c r="G21" s="21" t="n">
        <f aca="false">Stock_Seguridad!T21</f>
        <v>56862</v>
      </c>
      <c r="H21" s="21" t="n">
        <f aca="false">Stock_Seguridad!R21</f>
        <v>15904.194985845</v>
      </c>
      <c r="I21" s="21" t="n">
        <f aca="false">Stock_Seguridad!S21</f>
        <v>39772.694985845</v>
      </c>
      <c r="J21" s="21" t="n">
        <f aca="false">Stock_Seguridad!U21</f>
        <v>0</v>
      </c>
      <c r="K21" s="22"/>
      <c r="L21" s="23" t="n">
        <v>48</v>
      </c>
      <c r="M21" s="23" t="n">
        <v>168</v>
      </c>
      <c r="N21" s="23" t="n">
        <v>0</v>
      </c>
      <c r="O21" s="24" t="n">
        <v>0.105908946868068</v>
      </c>
      <c r="P21" s="24" t="n">
        <f aca="false">IF(ISNUMBER(Stock_Seguridad!N21),Stock_Seguridad!N21,"")</f>
        <v>0.259259259259259</v>
      </c>
      <c r="Q21" s="24" t="n">
        <f aca="false">IF(AND(ISNUMBER(O21),ISNUMBER(P21)),P21-O21,"")</f>
        <v>0.153350312391191</v>
      </c>
      <c r="R21" s="23" t="n">
        <f aca="false">MAX(0,G21-N(L21))</f>
        <v>56814</v>
      </c>
      <c r="S21" s="23" t="n">
        <f aca="false">SUMIFS(Cadenas_vs_FCST!$D$17:$D$652,Cadenas_vs_FCST!$A$17:$A$652,A21)</f>
        <v>80772</v>
      </c>
      <c r="T21" s="23" t="n">
        <f aca="false">SUMIFS(Cadenas_vs_FCST!$E$17:$E$652,Cadenas_vs_FCST!$A$17:$A$652,A21)</f>
        <v>72959.844472687</v>
      </c>
      <c r="U21" s="24" t="n">
        <f aca="false">IF(T21&gt;0,S21/T21-1,"")</f>
        <v>0.107074728349202</v>
      </c>
      <c r="V21" s="3" t="str">
        <f aca="false">IF(OR(E21="BAJO SS",E21="BAJO SS (XLIB CUBRE)"),"SÍ","")</f>
        <v/>
      </c>
      <c r="W21" s="3" t="str">
        <f aca="false">IF(AND(V21="",N(L21)&gt;=Parametros!$B$17,G21&gt;=H21,R21&lt;H21),"SÍ","")</f>
        <v/>
      </c>
      <c r="X21" s="3" t="str">
        <f aca="false">IF(OR(E21="SOBRE MAX VENDIBLE",N(N21)&gt;=Parametros!$B$17,N(M21)&gt;=Parametros!$B$17),"SÍ","")</f>
        <v/>
      </c>
      <c r="Y21" s="3" t="str">
        <f aca="false">IF(AND(ISNUMBER(U21),MAX(S21,T21)&gt;=Parametros!$B$15,ABS(N(U21))&gt;Parametros!$B$14),"SÍ","")</f>
        <v/>
      </c>
      <c r="Z21" s="3" t="n">
        <f aca="false">COUNTIF(V21:Y21,"SÍ")</f>
        <v>0</v>
      </c>
      <c r="AA21" s="3" t="n">
        <f aca="false">(3*(V21="SÍ")+2*(W21="SÍ")+2*(X21="SÍ")+(Y21="SÍ"))*IF(LEFT(D21,1)="A",3,IF(OR(LEFT(D21,1)="B",D21="SIN HIST"),2,1))</f>
        <v>0</v>
      </c>
      <c r="AB21" s="3" t="str">
        <f aca="false">IF(AA21&gt;=9,"1-ALTA",IF(AA21&gt;=4,"2-MEDIA",IF(AA21&gt;0,"3-BAJA","")))</f>
        <v/>
      </c>
      <c r="AC21" s="3" t="str">
        <f aca="false">IF(E21="BAJO SS","Stock + XLIB bajo el SS: riesgo real de quiebre, adelantar producción. ","")&amp;IF(E21="BAJO SS (XLIB CUBRE)","Disponible bajo el SS; depende de liberar "&amp;TEXT(J21,"#,##0")&amp;" kg"&amp;IF(ISNUMBER(K21)," el "&amp;TEXT(K21,"dd-mm"),"")&amp;". ","")&amp;IF(W21="SÍ","Stock parece sano pero "&amp;TEXT(L21,"#,##0")&amp;" kg no pasan filtro "&amp;Stock_Seguridad!O21&amp;": sin ellos queda bajo el SS para esa cadena. ","")&amp;IF(E21="SOBRE MAX VENDIBLE","Sobrestock vs vida útil: frenar producción/activar venta. ","")&amp;IF(N(N21)&gt;=Parametros!$B$17,TEXT(N21,"#,##0")&amp;" kg ya no los acepta ninguna cadena: venta intermedia/liquidación. ","")&amp;IF(N(M21)&gt;=Parametros!$B$17,TEXT(M21,"#,##0")&amp;" kg a punto de salir del filtro: despachar primero (FEFO). ","")&amp;IF(Y21="SÍ","Pedidos "&amp;IF(N(U21)&gt;0,"sobre","bajo")&amp;" FCST "&amp;TEXT(ABS(N(U21)),"0%")&amp;": revisar forecast con KAM.","")</f>
        <v/>
      </c>
    </row>
    <row r="22" customFormat="false" ht="15" hidden="false" customHeight="false" outlineLevel="0" collapsed="false">
      <c r="A22" s="18" t="n">
        <f aca="false">Stock_Seguridad!A22</f>
        <v>30002099</v>
      </c>
      <c r="B22" s="18" t="str">
        <f aca="false">Stock_Seguridad!B22</f>
        <v>NECTAR WATTS TUTTIFLLA SIXPACK 30X200ML</v>
      </c>
      <c r="C22" s="18" t="str">
        <f aca="false">Stock_Seguridad!C22</f>
        <v>JUGOS Y NECTARES</v>
      </c>
      <c r="D22" s="18" t="str">
        <f aca="false">Stock_Seguridad!F22</f>
        <v>AY</v>
      </c>
      <c r="E22" s="19" t="str">
        <f aca="false">Stock_Seguridad!X22</f>
        <v>OK</v>
      </c>
      <c r="F22" s="20" t="n">
        <f aca="false">Stock_Seguridad!W22</f>
        <v>6.80479188495026</v>
      </c>
      <c r="G22" s="21" t="n">
        <f aca="false">Stock_Seguridad!T22</f>
        <v>146766</v>
      </c>
      <c r="H22" s="21" t="n">
        <f aca="false">Stock_Seguridad!R22</f>
        <v>52827.6810894469</v>
      </c>
      <c r="I22" s="21" t="n">
        <f aca="false">Stock_Seguridad!S22</f>
        <v>74397.4810894469</v>
      </c>
      <c r="J22" s="21" t="n">
        <f aca="false">Stock_Seguridad!U22</f>
        <v>12</v>
      </c>
      <c r="K22" s="22" t="n">
        <v>46317</v>
      </c>
      <c r="L22" s="23" t="n">
        <v>198</v>
      </c>
      <c r="M22" s="23" t="n">
        <v>0</v>
      </c>
      <c r="N22" s="23" t="n">
        <v>0</v>
      </c>
      <c r="O22" s="24" t="n">
        <v>0.047139353309079</v>
      </c>
      <c r="P22" s="24" t="n">
        <f aca="false">IF(ISNUMBER(Stock_Seguridad!N22),Stock_Seguridad!N22,"")</f>
        <v>0.194444444444444</v>
      </c>
      <c r="Q22" s="24" t="n">
        <f aca="false">IF(AND(ISNUMBER(O22),ISNUMBER(P22)),P22-O22,"")</f>
        <v>0.147305091135365</v>
      </c>
      <c r="R22" s="23" t="n">
        <f aca="false">MAX(0,G22-N(L22))</f>
        <v>146568</v>
      </c>
      <c r="S22" s="23" t="n">
        <f aca="false">SUMIFS(Cadenas_vs_FCST!$D$17:$D$652,Cadenas_vs_FCST!$A$17:$A$652,A22)</f>
        <v>119580</v>
      </c>
      <c r="T22" s="23" t="n">
        <f aca="false">SUMIFS(Cadenas_vs_FCST!$E$17:$E$652,Cadenas_vs_FCST!$A$17:$A$652,A22)</f>
        <v>127888.803001032</v>
      </c>
      <c r="U22" s="24" t="n">
        <f aca="false">IF(T22&gt;0,S22/T22-1,"")</f>
        <v>-0.0649689637095489</v>
      </c>
      <c r="V22" s="3" t="str">
        <f aca="false">IF(OR(E22="BAJO SS",E22="BAJO SS (XLIB CUBRE)"),"SÍ","")</f>
        <v/>
      </c>
      <c r="W22" s="3" t="str">
        <f aca="false">IF(AND(V22="",N(L22)&gt;=Parametros!$B$17,G22&gt;=H22,R22&lt;H22),"SÍ","")</f>
        <v/>
      </c>
      <c r="X22" s="3" t="str">
        <f aca="false">IF(OR(E22="SOBRE MAX VENDIBLE",N(N22)&gt;=Parametros!$B$17,N(M22)&gt;=Parametros!$B$17),"SÍ","")</f>
        <v/>
      </c>
      <c r="Y22" s="3" t="str">
        <f aca="false">IF(AND(ISNUMBER(U22),MAX(S22,T22)&gt;=Parametros!$B$15,ABS(N(U22))&gt;Parametros!$B$14),"SÍ","")</f>
        <v/>
      </c>
      <c r="Z22" s="3" t="n">
        <f aca="false">COUNTIF(V22:Y22,"SÍ")</f>
        <v>0</v>
      </c>
      <c r="AA22" s="3" t="n">
        <f aca="false">(3*(V22="SÍ")+2*(W22="SÍ")+2*(X22="SÍ")+(Y22="SÍ"))*IF(LEFT(D22,1)="A",3,IF(OR(LEFT(D22,1)="B",D22="SIN HIST"),2,1))</f>
        <v>0</v>
      </c>
      <c r="AB22" s="3" t="str">
        <f aca="false">IF(AA22&gt;=9,"1-ALTA",IF(AA22&gt;=4,"2-MEDIA",IF(AA22&gt;0,"3-BAJA","")))</f>
        <v/>
      </c>
      <c r="AC22" s="3" t="str">
        <f aca="false">IF(E22="BAJO SS","Stock + XLIB bajo el SS: riesgo real de quiebre, adelantar producción. ","")&amp;IF(E22="BAJO SS (XLIB CUBRE)","Disponible bajo el SS; depende de liberar "&amp;TEXT(J22,"#,##0")&amp;" kg"&amp;IF(ISNUMBER(K22)," el "&amp;TEXT(K22,"dd-mm"),"")&amp;". ","")&amp;IF(W22="SÍ","Stock parece sano pero "&amp;TEXT(L22,"#,##0")&amp;" kg no pasan filtro "&amp;Stock_Seguridad!O22&amp;": sin ellos queda bajo el SS para esa cadena. ","")&amp;IF(E22="SOBRE MAX VENDIBLE","Sobrestock vs vida útil: frenar producción/activar venta. ","")&amp;IF(N(N22)&gt;=Parametros!$B$17,TEXT(N22,"#,##0")&amp;" kg ya no los acepta ninguna cadena: venta intermedia/liquidación. ","")&amp;IF(N(M22)&gt;=Parametros!$B$17,TEXT(M22,"#,##0")&amp;" kg a punto de salir del filtro: despachar primero (FEFO). ","")&amp;IF(Y22="SÍ","Pedidos "&amp;IF(N(U22)&gt;0,"sobre","bajo")&amp;" FCST "&amp;TEXT(ABS(N(U22)),"0%")&amp;": revisar forecast con KAM.","")</f>
        <v/>
      </c>
    </row>
    <row r="23" customFormat="false" ht="15" hidden="false" customHeight="false" outlineLevel="0" collapsed="false">
      <c r="A23" s="18" t="n">
        <f aca="false">Stock_Seguridad!A23</f>
        <v>30002066</v>
      </c>
      <c r="B23" s="18" t="str">
        <f aca="false">Stock_Seguridad!B23</f>
        <v>LECHE FRUTILLA LONCOLECHE 12X1LT</v>
      </c>
      <c r="C23" s="18" t="str">
        <f aca="false">Stock_Seguridad!C23</f>
        <v>LECHES LIQUIDAS</v>
      </c>
      <c r="D23" s="18" t="str">
        <f aca="false">Stock_Seguridad!F23</f>
        <v>AX</v>
      </c>
      <c r="E23" s="19" t="str">
        <f aca="false">Stock_Seguridad!X23</f>
        <v>BAJO SS</v>
      </c>
      <c r="F23" s="20" t="n">
        <f aca="false">Stock_Seguridad!W23</f>
        <v>1.83357879234168</v>
      </c>
      <c r="G23" s="21" t="n">
        <f aca="false">Stock_Seguridad!T23</f>
        <v>34860</v>
      </c>
      <c r="H23" s="21" t="n">
        <f aca="false">Stock_Seguridad!R23</f>
        <v>41008.1387967941</v>
      </c>
      <c r="I23" s="21" t="n">
        <f aca="false">Stock_Seguridad!S23</f>
        <v>60020.1387967941</v>
      </c>
      <c r="J23" s="21" t="n">
        <f aca="false">Stock_Seguridad!U23</f>
        <v>0</v>
      </c>
      <c r="K23" s="22"/>
      <c r="L23" s="23" t="n">
        <v>492</v>
      </c>
      <c r="M23" s="23" t="n">
        <v>0</v>
      </c>
      <c r="N23" s="23" t="n">
        <v>36</v>
      </c>
      <c r="O23" s="24" t="n">
        <v>0.0373115318416523</v>
      </c>
      <c r="P23" s="24" t="n">
        <f aca="false">IF(ISNUMBER(Stock_Seguridad!N23),Stock_Seguridad!N23,"")</f>
        <v>0.238317757009346</v>
      </c>
      <c r="Q23" s="24" t="n">
        <f aca="false">IF(AND(ISNUMBER(O23),ISNUMBER(P23)),P23-O23,"")</f>
        <v>0.201006225167693</v>
      </c>
      <c r="R23" s="23" t="n">
        <f aca="false">MAX(0,G23-N(L23))</f>
        <v>34368</v>
      </c>
      <c r="S23" s="23" t="n">
        <f aca="false">SUMIFS(Cadenas_vs_FCST!$D$17:$D$652,Cadenas_vs_FCST!$A$17:$A$652,A23)</f>
        <v>108816</v>
      </c>
      <c r="T23" s="23" t="n">
        <f aca="false">SUMIFS(Cadenas_vs_FCST!$E$17:$E$652,Cadenas_vs_FCST!$A$17:$A$652,A23)</f>
        <v>38172.5695669944</v>
      </c>
      <c r="U23" s="24" t="n">
        <f aca="false">IF(T23&gt;0,S23/T23-1,"")</f>
        <v>1.85063335359239</v>
      </c>
      <c r="V23" s="3" t="str">
        <f aca="false">IF(OR(E23="BAJO SS",E23="BAJO SS (XLIB CUBRE)"),"SÍ","")</f>
        <v>SÍ</v>
      </c>
      <c r="W23" s="3" t="str">
        <f aca="false">IF(AND(V23="",N(L23)&gt;=Parametros!$B$17,G23&gt;=H23,R23&lt;H23),"SÍ","")</f>
        <v/>
      </c>
      <c r="X23" s="3" t="str">
        <f aca="false">IF(OR(E23="SOBRE MAX VENDIBLE",N(N23)&gt;=Parametros!$B$17,N(M23)&gt;=Parametros!$B$17),"SÍ","")</f>
        <v/>
      </c>
      <c r="Y23" s="3" t="str">
        <f aca="false">IF(AND(ISNUMBER(U23),MAX(S23,T23)&gt;=Parametros!$B$15,ABS(N(U23))&gt;Parametros!$B$14),"SÍ","")</f>
        <v>SÍ</v>
      </c>
      <c r="Z23" s="3" t="n">
        <f aca="false">COUNTIF(V23:Y23,"SÍ")</f>
        <v>2</v>
      </c>
      <c r="AA23" s="3" t="n">
        <f aca="false">(3*(V23="SÍ")+2*(W23="SÍ")+2*(X23="SÍ")+(Y23="SÍ"))*IF(LEFT(D23,1)="A",3,IF(OR(LEFT(D23,1)="B",D23="SIN HIST"),2,1))</f>
        <v>12</v>
      </c>
      <c r="AB23" s="3" t="str">
        <f aca="false">IF(AA23&gt;=9,"1-ALTA",IF(AA23&gt;=4,"2-MEDIA",IF(AA23&gt;0,"3-BAJA","")))</f>
        <v>1-ALTA</v>
      </c>
      <c r="AC23" s="3" t="str">
        <f aca="false">IF(E23="BAJO SS","Stock + XLIB bajo el SS: riesgo real de quiebre, adelantar producción. ","")&amp;IF(E23="BAJO SS (XLIB CUBRE)","Disponible bajo el SS; depende de liberar "&amp;TEXT(J23,"#,##0")&amp;" kg"&amp;IF(ISNUMBER(K23)," el "&amp;TEXT(K23,"dd-mm"),"")&amp;". ","")&amp;IF(W23="SÍ","Stock parece sano pero "&amp;TEXT(L23,"#,##0")&amp;" kg no pasan filtro "&amp;Stock_Seguridad!O23&amp;": sin ellos queda bajo el SS para esa cadena. ","")&amp;IF(E23="SOBRE MAX VENDIBLE","Sobrestock vs vida útil: frenar producción/activar venta. ","")&amp;IF(N(N23)&gt;=Parametros!$B$17,TEXT(N23,"#,##0")&amp;" kg ya no los acepta ninguna cadena: venta intermedia/liquidación. ","")&amp;IF(N(M23)&gt;=Parametros!$B$17,TEXT(M23,"#,##0")&amp;" kg a punto de salir del filtro: despachar primero (FEFO). ","")&amp;IF(Y23="SÍ","Pedidos "&amp;IF(N(U23)&gt;0,"sobre","bajo")&amp;" FCST "&amp;TEXT(ABS(N(U23)),"0%")&amp;": revisar forecast con KAM.","")</f>
        <v>Stock + XLIB bajo el SS: riesgo real de quiebre, adelantar producción. Pedidos sobre FCST 185%: revisar forecast con KAM.</v>
      </c>
    </row>
    <row r="24" customFormat="false" ht="15" hidden="false" customHeight="false" outlineLevel="0" collapsed="false">
      <c r="A24" s="18" t="n">
        <f aca="false">Stock_Seguridad!A24</f>
        <v>30002065</v>
      </c>
      <c r="B24" s="18" t="str">
        <f aca="false">Stock_Seguridad!B24</f>
        <v>LECHE CHOCOLATE LONCOLECHE 12X1LT</v>
      </c>
      <c r="C24" s="18" t="str">
        <f aca="false">Stock_Seguridad!C24</f>
        <v>LECHES LIQUIDAS</v>
      </c>
      <c r="D24" s="18" t="str">
        <f aca="false">Stock_Seguridad!F24</f>
        <v>BY</v>
      </c>
      <c r="E24" s="19" t="str">
        <f aca="false">Stock_Seguridad!X24</f>
        <v>BAJO P.REORDEN</v>
      </c>
      <c r="F24" s="20" t="n">
        <f aca="false">Stock_Seguridad!W24</f>
        <v>0.677845050075479</v>
      </c>
      <c r="G24" s="21" t="n">
        <f aca="false">Stock_Seguridad!T24</f>
        <v>11520</v>
      </c>
      <c r="H24" s="21" t="n">
        <f aca="false">Stock_Seguridad!R24</f>
        <v>8108.68273579992</v>
      </c>
      <c r="I24" s="21" t="n">
        <f aca="false">Stock_Seguridad!S24</f>
        <v>26590.7827357999</v>
      </c>
      <c r="J24" s="21" t="n">
        <f aca="false">Stock_Seguridad!U24</f>
        <v>1008</v>
      </c>
      <c r="K24" s="22" t="n">
        <v>46320</v>
      </c>
      <c r="L24" s="23" t="n">
        <v>0</v>
      </c>
      <c r="M24" s="23" t="n">
        <v>96</v>
      </c>
      <c r="N24" s="23" t="n">
        <v>0</v>
      </c>
      <c r="O24" s="24" t="n">
        <v>0.0710823754789272</v>
      </c>
      <c r="P24" s="24" t="n">
        <f aca="false">IF(ISNUMBER(Stock_Seguridad!N24),Stock_Seguridad!N24,"")</f>
        <v>0.238317757009346</v>
      </c>
      <c r="Q24" s="24" t="n">
        <f aca="false">IF(AND(ISNUMBER(O24),ISNUMBER(P24)),P24-O24,"")</f>
        <v>0.167235381530419</v>
      </c>
      <c r="R24" s="23" t="n">
        <f aca="false">MAX(0,G24-N(L24))</f>
        <v>11520</v>
      </c>
      <c r="S24" s="23" t="n">
        <f aca="false">SUMIFS(Cadenas_vs_FCST!$D$17:$D$652,Cadenas_vs_FCST!$A$17:$A$652,A24)</f>
        <v>28884</v>
      </c>
      <c r="T24" s="23" t="n">
        <f aca="false">SUMIFS(Cadenas_vs_FCST!$E$17:$E$652,Cadenas_vs_FCST!$A$17:$A$652,A24)</f>
        <v>31045.2349667435</v>
      </c>
      <c r="U24" s="24" t="n">
        <f aca="false">IF(T24&gt;0,S24/T24-1,"")</f>
        <v>-0.069615674323568</v>
      </c>
      <c r="V24" s="3" t="str">
        <f aca="false">IF(OR(E24="BAJO SS",E24="BAJO SS (XLIB CUBRE)"),"SÍ","")</f>
        <v/>
      </c>
      <c r="W24" s="3" t="str">
        <f aca="false">IF(AND(V24="",N(L24)&gt;=Parametros!$B$17,G24&gt;=H24,R24&lt;H24),"SÍ","")</f>
        <v/>
      </c>
      <c r="X24" s="3" t="str">
        <f aca="false">IF(OR(E24="SOBRE MAX VENDIBLE",N(N24)&gt;=Parametros!$B$17,N(M24)&gt;=Parametros!$B$17),"SÍ","")</f>
        <v/>
      </c>
      <c r="Y24" s="3" t="str">
        <f aca="false">IF(AND(ISNUMBER(U24),MAX(S24,T24)&gt;=Parametros!$B$15,ABS(N(U24))&gt;Parametros!$B$14),"SÍ","")</f>
        <v/>
      </c>
      <c r="Z24" s="3" t="n">
        <f aca="false">COUNTIF(V24:Y24,"SÍ")</f>
        <v>0</v>
      </c>
      <c r="AA24" s="3" t="n">
        <f aca="false">(3*(V24="SÍ")+2*(W24="SÍ")+2*(X24="SÍ")+(Y24="SÍ"))*IF(LEFT(D24,1)="A",3,IF(OR(LEFT(D24,1)="B",D24="SIN HIST"),2,1))</f>
        <v>0</v>
      </c>
      <c r="AB24" s="3" t="str">
        <f aca="false">IF(AA24&gt;=9,"1-ALTA",IF(AA24&gt;=4,"2-MEDIA",IF(AA24&gt;0,"3-BAJA","")))</f>
        <v/>
      </c>
      <c r="AC24" s="3" t="str">
        <f aca="false">IF(E24="BAJO SS","Stock + XLIB bajo el SS: riesgo real de quiebre, adelantar producción. ","")&amp;IF(E24="BAJO SS (XLIB CUBRE)","Disponible bajo el SS; depende de liberar "&amp;TEXT(J24,"#,##0")&amp;" kg"&amp;IF(ISNUMBER(K24)," el "&amp;TEXT(K24,"dd-mm"),"")&amp;". ","")&amp;IF(W24="SÍ","Stock parece sano pero "&amp;TEXT(L24,"#,##0")&amp;" kg no pasan filtro "&amp;Stock_Seguridad!O24&amp;": sin ellos queda bajo el SS para esa cadena. ","")&amp;IF(E24="SOBRE MAX VENDIBLE","Sobrestock vs vida útil: frenar producción/activar venta. ","")&amp;IF(N(N24)&gt;=Parametros!$B$17,TEXT(N24,"#,##0")&amp;" kg ya no los acepta ninguna cadena: venta intermedia/liquidación. ","")&amp;IF(N(M24)&gt;=Parametros!$B$17,TEXT(M24,"#,##0")&amp;" kg a punto de salir del filtro: despachar primero (FEFO). ","")&amp;IF(Y24="SÍ","Pedidos "&amp;IF(N(U24)&gt;0,"sobre","bajo")&amp;" FCST "&amp;TEXT(ABS(N(U24)),"0%")&amp;": revisar forecast con KAM.","")</f>
        <v/>
      </c>
    </row>
    <row r="25" customFormat="false" ht="15" hidden="false" customHeight="false" outlineLevel="0" collapsed="false">
      <c r="A25" s="18" t="n">
        <f aca="false">Stock_Seguridad!A25</f>
        <v>30000401</v>
      </c>
      <c r="B25" s="18" t="str">
        <f aca="false">Stock_Seguridad!B25</f>
        <v>LECHE LONCO FRUTILLA 30X200ML</v>
      </c>
      <c r="C25" s="18" t="str">
        <f aca="false">Stock_Seguridad!C25</f>
        <v>LECHES LIQUIDAS</v>
      </c>
      <c r="D25" s="18" t="str">
        <f aca="false">Stock_Seguridad!F25</f>
        <v>AY</v>
      </c>
      <c r="E25" s="19" t="str">
        <f aca="false">Stock_Seguridad!X25</f>
        <v>OK</v>
      </c>
      <c r="F25" s="20" t="n">
        <f aca="false">Stock_Seguridad!W25</f>
        <v>5.15762475606356</v>
      </c>
      <c r="G25" s="21" t="n">
        <f aca="false">Stock_Seguridad!T25</f>
        <v>91698</v>
      </c>
      <c r="H25" s="21" t="n">
        <f aca="false">Stock_Seguridad!R25</f>
        <v>47041.8350033473</v>
      </c>
      <c r="I25" s="21" t="n">
        <f aca="false">Stock_Seguridad!S25</f>
        <v>64976.8350033473</v>
      </c>
      <c r="J25" s="21" t="n">
        <f aca="false">Stock_Seguridad!U25</f>
        <v>804</v>
      </c>
      <c r="K25" s="22" t="n">
        <v>46313</v>
      </c>
      <c r="L25" s="23" t="n">
        <v>5064</v>
      </c>
      <c r="M25" s="23" t="n">
        <v>4008</v>
      </c>
      <c r="N25" s="23" t="n">
        <v>0</v>
      </c>
      <c r="O25" s="24" t="n">
        <v>0.0915082711644502</v>
      </c>
      <c r="P25" s="24" t="n">
        <f aca="false">IF(ISNUMBER(Stock_Seguridad!N25),Stock_Seguridad!N25,"")</f>
        <v>0.238317757009346</v>
      </c>
      <c r="Q25" s="24" t="n">
        <f aca="false">IF(AND(ISNUMBER(O25),ISNUMBER(P25)),P25-O25,"")</f>
        <v>0.146809485844896</v>
      </c>
      <c r="R25" s="23" t="n">
        <f aca="false">MAX(0,G25-N(L25))</f>
        <v>86634</v>
      </c>
      <c r="S25" s="23" t="n">
        <f aca="false">SUMIFS(Cadenas_vs_FCST!$D$17:$D$652,Cadenas_vs_FCST!$A$17:$A$652,A25)</f>
        <v>140712</v>
      </c>
      <c r="T25" s="23" t="n">
        <f aca="false">SUMIFS(Cadenas_vs_FCST!$E$17:$E$652,Cadenas_vs_FCST!$A$17:$A$652,A25)</f>
        <v>122422.750411381</v>
      </c>
      <c r="U25" s="24" t="n">
        <f aca="false">IF(T25&gt;0,S25/T25-1,"")</f>
        <v>0.149394205955687</v>
      </c>
      <c r="V25" s="3" t="str">
        <f aca="false">IF(OR(E25="BAJO SS",E25="BAJO SS (XLIB CUBRE)"),"SÍ","")</f>
        <v/>
      </c>
      <c r="W25" s="3" t="str">
        <f aca="false">IF(AND(V25="",N(L25)&gt;=Parametros!$B$17,G25&gt;=H25,R25&lt;H25),"SÍ","")</f>
        <v/>
      </c>
      <c r="X25" s="3" t="str">
        <f aca="false">IF(OR(E25="SOBRE MAX VENDIBLE",N(N25)&gt;=Parametros!$B$17,N(M25)&gt;=Parametros!$B$17),"SÍ","")</f>
        <v>SÍ</v>
      </c>
      <c r="Y25" s="3" t="str">
        <f aca="false">IF(AND(ISNUMBER(U25),MAX(S25,T25)&gt;=Parametros!$B$15,ABS(N(U25))&gt;Parametros!$B$14),"SÍ","")</f>
        <v/>
      </c>
      <c r="Z25" s="3" t="n">
        <f aca="false">COUNTIF(V25:Y25,"SÍ")</f>
        <v>1</v>
      </c>
      <c r="AA25" s="3" t="n">
        <f aca="false">(3*(V25="SÍ")+2*(W25="SÍ")+2*(X25="SÍ")+(Y25="SÍ"))*IF(LEFT(D25,1)="A",3,IF(OR(LEFT(D25,1)="B",D25="SIN HIST"),2,1))</f>
        <v>6</v>
      </c>
      <c r="AB25" s="3" t="str">
        <f aca="false">IF(AA25&gt;=9,"1-ALTA",IF(AA25&gt;=4,"2-MEDIA",IF(AA25&gt;0,"3-BAJA","")))</f>
        <v>2-MEDIA</v>
      </c>
      <c r="AC25" s="3" t="str">
        <f aca="false">IF(E25="BAJO SS","Stock + XLIB bajo el SS: riesgo real de quiebre, adelantar producción. ","")&amp;IF(E25="BAJO SS (XLIB CUBRE)","Disponible bajo el SS; depende de liberar "&amp;TEXT(J25,"#,##0")&amp;" kg"&amp;IF(ISNUMBER(K25)," el "&amp;TEXT(K25,"dd-mm"),"")&amp;". ","")&amp;IF(W25="SÍ","Stock parece sano pero "&amp;TEXT(L25,"#,##0")&amp;" kg no pasan filtro "&amp;Stock_Seguridad!O25&amp;": sin ellos queda bajo el SS para esa cadena. ","")&amp;IF(E25="SOBRE MAX VENDIBLE","Sobrestock vs vida útil: frenar producción/activar venta. ","")&amp;IF(N(N25)&gt;=Parametros!$B$17,TEXT(N25,"#,##0")&amp;" kg ya no los acepta ninguna cadena: venta intermedia/liquidación. ","")&amp;IF(N(M25)&gt;=Parametros!$B$17,TEXT(M25,"#,##0")&amp;" kg a punto de salir del filtro: despachar primero (FEFO). ","")&amp;IF(Y25="SÍ","Pedidos "&amp;IF(N(U25)&gt;0,"sobre","bajo")&amp;" FCST "&amp;TEXT(ABS(N(U25)),"0%")&amp;": revisar forecast con KAM.","")</f>
        <v>4,008 kg a punto de salir del filtro: despachar primero (FEFO). </v>
      </c>
    </row>
    <row r="26" customFormat="false" ht="15" hidden="false" customHeight="false" outlineLevel="0" collapsed="false">
      <c r="A26" s="18" t="n">
        <f aca="false">Stock_Seguridad!A26</f>
        <v>30000516</v>
      </c>
      <c r="B26" s="18" t="str">
        <f aca="false">Stock_Seguridad!B26</f>
        <v>LECHE LONCO PROTEIN MILK CHOCO 12X1LT</v>
      </c>
      <c r="C26" s="18" t="str">
        <f aca="false">Stock_Seguridad!C26</f>
        <v>LECHES LIQUIDAS</v>
      </c>
      <c r="D26" s="18" t="str">
        <f aca="false">Stock_Seguridad!F26</f>
        <v>BX</v>
      </c>
      <c r="E26" s="19" t="str">
        <f aca="false">Stock_Seguridad!X26</f>
        <v>OK</v>
      </c>
      <c r="F26" s="20" t="n">
        <f aca="false">Stock_Seguridad!W26</f>
        <v>3.11293046689377</v>
      </c>
      <c r="G26" s="21" t="n">
        <f aca="false">Stock_Seguridad!T26</f>
        <v>54372</v>
      </c>
      <c r="H26" s="21" t="n">
        <f aca="false">Stock_Seguridad!R26</f>
        <v>4762.85884655044</v>
      </c>
      <c r="I26" s="21" t="n">
        <f aca="false">Stock_Seguridad!S26</f>
        <v>22229.3588465504</v>
      </c>
      <c r="J26" s="21" t="n">
        <f aca="false">Stock_Seguridad!U26</f>
        <v>0</v>
      </c>
      <c r="K26" s="22"/>
      <c r="L26" s="23" t="n">
        <v>24</v>
      </c>
      <c r="M26" s="23" t="n">
        <v>14388</v>
      </c>
      <c r="N26" s="23" t="n">
        <v>12</v>
      </c>
      <c r="O26" s="24" t="n">
        <v>0.106303819827777</v>
      </c>
      <c r="P26" s="24" t="n">
        <f aca="false">IF(ISNUMBER(Stock_Seguridad!N26),Stock_Seguridad!N26,"")</f>
        <v>0.259259259259259</v>
      </c>
      <c r="Q26" s="24" t="n">
        <f aca="false">IF(AND(ISNUMBER(O26),ISNUMBER(P26)),P26-O26,"")</f>
        <v>0.152955439431483</v>
      </c>
      <c r="R26" s="23" t="n">
        <f aca="false">MAX(0,G26-N(L26))</f>
        <v>54348</v>
      </c>
      <c r="S26" s="23" t="n">
        <f aca="false">SUMIFS(Cadenas_vs_FCST!$D$17:$D$652,Cadenas_vs_FCST!$A$17:$A$652,A26)</f>
        <v>51792</v>
      </c>
      <c r="T26" s="23" t="n">
        <f aca="false">SUMIFS(Cadenas_vs_FCST!$E$17:$E$652,Cadenas_vs_FCST!$A$17:$A$652,A26)</f>
        <v>52663.7659017021</v>
      </c>
      <c r="U26" s="24" t="n">
        <f aca="false">IF(T26&gt;0,S26/T26-1,"")</f>
        <v>-0.0165534288476304</v>
      </c>
      <c r="V26" s="3" t="str">
        <f aca="false">IF(OR(E26="BAJO SS",E26="BAJO SS (XLIB CUBRE)"),"SÍ","")</f>
        <v/>
      </c>
      <c r="W26" s="3" t="str">
        <f aca="false">IF(AND(V26="",N(L26)&gt;=Parametros!$B$17,G26&gt;=H26,R26&lt;H26),"SÍ","")</f>
        <v/>
      </c>
      <c r="X26" s="3" t="str">
        <f aca="false">IF(OR(E26="SOBRE MAX VENDIBLE",N(N26)&gt;=Parametros!$B$17,N(M26)&gt;=Parametros!$B$17),"SÍ","")</f>
        <v>SÍ</v>
      </c>
      <c r="Y26" s="3" t="str">
        <f aca="false">IF(AND(ISNUMBER(U26),MAX(S26,T26)&gt;=Parametros!$B$15,ABS(N(U26))&gt;Parametros!$B$14),"SÍ","")</f>
        <v/>
      </c>
      <c r="Z26" s="3" t="n">
        <f aca="false">COUNTIF(V26:Y26,"SÍ")</f>
        <v>1</v>
      </c>
      <c r="AA26" s="3" t="n">
        <f aca="false">(3*(V26="SÍ")+2*(W26="SÍ")+2*(X26="SÍ")+(Y26="SÍ"))*IF(LEFT(D26,1)="A",3,IF(OR(LEFT(D26,1)="B",D26="SIN HIST"),2,1))</f>
        <v>4</v>
      </c>
      <c r="AB26" s="3" t="str">
        <f aca="false">IF(AA26&gt;=9,"1-ALTA",IF(AA26&gt;=4,"2-MEDIA",IF(AA26&gt;0,"3-BAJA","")))</f>
        <v>2-MEDIA</v>
      </c>
      <c r="AC26" s="3" t="str">
        <f aca="false">IF(E26="BAJO SS","Stock + XLIB bajo el SS: riesgo real de quiebre, adelantar producción. ","")&amp;IF(E26="BAJO SS (XLIB CUBRE)","Disponible bajo el SS; depende de liberar "&amp;TEXT(J26,"#,##0")&amp;" kg"&amp;IF(ISNUMBER(K26)," el "&amp;TEXT(K26,"dd-mm"),"")&amp;". ","")&amp;IF(W26="SÍ","Stock parece sano pero "&amp;TEXT(L26,"#,##0")&amp;" kg no pasan filtro "&amp;Stock_Seguridad!O26&amp;": sin ellos queda bajo el SS para esa cadena. ","")&amp;IF(E26="SOBRE MAX VENDIBLE","Sobrestock vs vida útil: frenar producción/activar venta. ","")&amp;IF(N(N26)&gt;=Parametros!$B$17,TEXT(N26,"#,##0")&amp;" kg ya no los acepta ninguna cadena: venta intermedia/liquidación. ","")&amp;IF(N(M26)&gt;=Parametros!$B$17,TEXT(M26,"#,##0")&amp;" kg a punto de salir del filtro: despachar primero (FEFO). ","")&amp;IF(Y26="SÍ","Pedidos "&amp;IF(N(U26)&gt;0,"sobre","bajo")&amp;" FCST "&amp;TEXT(ABS(N(U26)),"0%")&amp;": revisar forecast con KAM.","")</f>
        <v>14,388 kg a punto de salir del filtro: despachar primero (FEFO). </v>
      </c>
    </row>
    <row r="27" customFormat="false" ht="15" hidden="false" customHeight="false" outlineLevel="0" collapsed="false">
      <c r="A27" s="18" t="n">
        <f aca="false">Stock_Seguridad!A27</f>
        <v>30002315</v>
      </c>
      <c r="B27" s="18" t="str">
        <f aca="false">Stock_Seguridad!B27</f>
        <v>LECHE LONCO FULL PRO DESCR 12X1LT</v>
      </c>
      <c r="C27" s="18" t="str">
        <f aca="false">Stock_Seguridad!C27</f>
        <v>LECHES LIQUIDAS</v>
      </c>
      <c r="D27" s="18" t="str">
        <f aca="false">Stock_Seguridad!F27</f>
        <v>AX</v>
      </c>
      <c r="E27" s="19" t="str">
        <f aca="false">Stock_Seguridad!X27</f>
        <v>BAJO SS (XLIB CUBRE)</v>
      </c>
      <c r="F27" s="20" t="n">
        <f aca="false">Stock_Seguridad!W27</f>
        <v>3.19917182786871</v>
      </c>
      <c r="G27" s="21" t="n">
        <f aca="false">Stock_Seguridad!T27</f>
        <v>2268</v>
      </c>
      <c r="H27" s="21" t="n">
        <f aca="false">Stock_Seguridad!R27</f>
        <v>16055.1703321539</v>
      </c>
      <c r="I27" s="21" t="n">
        <f aca="false">Stock_Seguridad!S27</f>
        <v>32863.2703321539</v>
      </c>
      <c r="J27" s="21" t="n">
        <f aca="false">Stock_Seguridad!U27</f>
        <v>51504</v>
      </c>
      <c r="K27" s="22" t="n">
        <v>46317</v>
      </c>
      <c r="L27" s="23" t="n">
        <v>0</v>
      </c>
      <c r="M27" s="23" t="n">
        <v>0</v>
      </c>
      <c r="N27" s="23" t="n">
        <v>0</v>
      </c>
      <c r="O27" s="24" t="n">
        <v>0.039122963624191</v>
      </c>
      <c r="P27" s="24" t="str">
        <f aca="false">IF(ISNUMBER(Stock_Seguridad!N27),Stock_Seguridad!N27,"")</f>
        <v/>
      </c>
      <c r="Q27" s="24" t="str">
        <f aca="false">IF(AND(ISNUMBER(O27),ISNUMBER(P27)),P27-O27,"")</f>
        <v/>
      </c>
      <c r="R27" s="23" t="n">
        <f aca="false">MAX(0,G27-N(L27))</f>
        <v>2268</v>
      </c>
      <c r="S27" s="23" t="n">
        <f aca="false">SUMIFS(Cadenas_vs_FCST!$D$17:$D$652,Cadenas_vs_FCST!$A$17:$A$652,A27)</f>
        <v>73680</v>
      </c>
      <c r="T27" s="23" t="n">
        <f aca="false">SUMIFS(Cadenas_vs_FCST!$E$17:$E$652,Cadenas_vs_FCST!$A$17:$A$652,A27)</f>
        <v>53368.4179562293</v>
      </c>
      <c r="U27" s="24" t="n">
        <f aca="false">IF(T27&gt;0,S27/T27-1,"")</f>
        <v>0.380591796077401</v>
      </c>
      <c r="V27" s="3" t="str">
        <f aca="false">IF(OR(E27="BAJO SS",E27="BAJO SS (XLIB CUBRE)"),"SÍ","")</f>
        <v>SÍ</v>
      </c>
      <c r="W27" s="3" t="str">
        <f aca="false">IF(AND(V27="",N(L27)&gt;=Parametros!$B$17,G27&gt;=H27,R27&lt;H27),"SÍ","")</f>
        <v/>
      </c>
      <c r="X27" s="3" t="str">
        <f aca="false">IF(OR(E27="SOBRE MAX VENDIBLE",N(N27)&gt;=Parametros!$B$17,N(M27)&gt;=Parametros!$B$17),"SÍ","")</f>
        <v/>
      </c>
      <c r="Y27" s="3" t="str">
        <f aca="false">IF(AND(ISNUMBER(U27),MAX(S27,T27)&gt;=Parametros!$B$15,ABS(N(U27))&gt;Parametros!$B$14),"SÍ","")</f>
        <v>SÍ</v>
      </c>
      <c r="Z27" s="3" t="n">
        <f aca="false">COUNTIF(V27:Y27,"SÍ")</f>
        <v>2</v>
      </c>
      <c r="AA27" s="3" t="n">
        <f aca="false">(3*(V27="SÍ")+2*(W27="SÍ")+2*(X27="SÍ")+(Y27="SÍ"))*IF(LEFT(D27,1)="A",3,IF(OR(LEFT(D27,1)="B",D27="SIN HIST"),2,1))</f>
        <v>12</v>
      </c>
      <c r="AB27" s="3" t="str">
        <f aca="false">IF(AA27&gt;=9,"1-ALTA",IF(AA27&gt;=4,"2-MEDIA",IF(AA27&gt;0,"3-BAJA","")))</f>
        <v>1-ALTA</v>
      </c>
      <c r="AC27" s="3" t="str">
        <f aca="false">IF(E27="BAJO SS","Stock + XLIB bajo el SS: riesgo real de quiebre, adelantar producción. ","")&amp;IF(E27="BAJO SS (XLIB CUBRE)","Disponible bajo el SS; depende de liberar "&amp;TEXT(J27,"#,##0")&amp;" kg"&amp;IF(ISNUMBER(K27)," el "&amp;TEXT(K27,"dd-mm"),"")&amp;". ","")&amp;IF(W27="SÍ","Stock parece sano pero "&amp;TEXT(L27,"#,##0")&amp;" kg no pasan filtro "&amp;Stock_Seguridad!O27&amp;": sin ellos queda bajo el SS para esa cadena. ","")&amp;IF(E27="SOBRE MAX VENDIBLE","Sobrestock vs vida útil: frenar producción/activar venta. ","")&amp;IF(N(N27)&gt;=Parametros!$B$17,TEXT(N27,"#,##0")&amp;" kg ya no los acepta ninguna cadena: venta intermedia/liquidación. ","")&amp;IF(N(M27)&gt;=Parametros!$B$17,TEXT(M27,"#,##0")&amp;" kg a punto de salir del filtro: despachar primero (FEFO). ","")&amp;IF(Y27="SÍ","Pedidos "&amp;IF(N(U27)&gt;0,"sobre","bajo")&amp;" FCST "&amp;TEXT(ABS(N(U27)),"0%")&amp;": revisar forecast con KAM.","")</f>
        <v>Disponible bajo el SS; depende de liberar 51,504 kg el 22-10. Pedidos sobre FCST 38%: revisar forecast con KAM.</v>
      </c>
    </row>
    <row r="28" customFormat="false" ht="15" hidden="false" customHeight="false" outlineLevel="0" collapsed="false">
      <c r="A28" s="18" t="n">
        <f aca="false">Stock_Seguridad!A28</f>
        <v>30000254</v>
      </c>
      <c r="B28" s="18" t="str">
        <f aca="false">Stock_Seguridad!B28</f>
        <v>NECTAR WATTS NJA LIGHT SIXPACK 30X200ML</v>
      </c>
      <c r="C28" s="18" t="str">
        <f aca="false">Stock_Seguridad!C28</f>
        <v>JUGOS Y NECTARES</v>
      </c>
      <c r="D28" s="18" t="str">
        <f aca="false">Stock_Seguridad!F28</f>
        <v>AX</v>
      </c>
      <c r="E28" s="19" t="str">
        <f aca="false">Stock_Seguridad!X28</f>
        <v>OK</v>
      </c>
      <c r="F28" s="20" t="n">
        <f aca="false">Stock_Seguridad!W28</f>
        <v>4.91689173267596</v>
      </c>
      <c r="G28" s="21" t="n">
        <f aca="false">Stock_Seguridad!T28</f>
        <v>81378</v>
      </c>
      <c r="H28" s="21" t="n">
        <f aca="false">Stock_Seguridad!R28</f>
        <v>11571.6798934817</v>
      </c>
      <c r="I28" s="21" t="n">
        <f aca="false">Stock_Seguridad!S28</f>
        <v>28122.3798934817</v>
      </c>
      <c r="J28" s="21" t="n">
        <f aca="false">Stock_Seguridad!U28</f>
        <v>0</v>
      </c>
      <c r="K28" s="22"/>
      <c r="L28" s="23" t="n">
        <v>126</v>
      </c>
      <c r="M28" s="23" t="n">
        <v>108</v>
      </c>
      <c r="N28" s="23" t="n">
        <v>0</v>
      </c>
      <c r="O28" s="24" t="n">
        <v>0.050925100312082</v>
      </c>
      <c r="P28" s="24" t="n">
        <f aca="false">IF(ISNUMBER(Stock_Seguridad!N28),Stock_Seguridad!N28,"")</f>
        <v>0.316363636363636</v>
      </c>
      <c r="Q28" s="24" t="n">
        <f aca="false">IF(AND(ISNUMBER(O28),ISNUMBER(P28)),P28-O28,"")</f>
        <v>0.265438536051554</v>
      </c>
      <c r="R28" s="23" t="n">
        <f aca="false">MAX(0,G28-N(L28))</f>
        <v>81252</v>
      </c>
      <c r="S28" s="23" t="n">
        <f aca="false">SUMIFS(Cadenas_vs_FCST!$D$17:$D$652,Cadenas_vs_FCST!$A$17:$A$652,A28)</f>
        <v>50724</v>
      </c>
      <c r="T28" s="23" t="n">
        <f aca="false">SUMIFS(Cadenas_vs_FCST!$E$17:$E$652,Cadenas_vs_FCST!$A$17:$A$652,A28)</f>
        <v>61200.6640080137</v>
      </c>
      <c r="U28" s="24" t="n">
        <f aca="false">IF(T28&gt;0,S28/T28-1,"")</f>
        <v>-0.171185463063634</v>
      </c>
      <c r="V28" s="3" t="str">
        <f aca="false">IF(OR(E28="BAJO SS",E28="BAJO SS (XLIB CUBRE)"),"SÍ","")</f>
        <v/>
      </c>
      <c r="W28" s="3" t="str">
        <f aca="false">IF(AND(V28="",N(L28)&gt;=Parametros!$B$17,G28&gt;=H28,R28&lt;H28),"SÍ","")</f>
        <v/>
      </c>
      <c r="X28" s="3" t="str">
        <f aca="false">IF(OR(E28="SOBRE MAX VENDIBLE",N(N28)&gt;=Parametros!$B$17,N(M28)&gt;=Parametros!$B$17),"SÍ","")</f>
        <v/>
      </c>
      <c r="Y28" s="3" t="str">
        <f aca="false">IF(AND(ISNUMBER(U28),MAX(S28,T28)&gt;=Parametros!$B$15,ABS(N(U28))&gt;Parametros!$B$14),"SÍ","")</f>
        <v/>
      </c>
      <c r="Z28" s="3" t="n">
        <f aca="false">COUNTIF(V28:Y28,"SÍ")</f>
        <v>0</v>
      </c>
      <c r="AA28" s="3" t="n">
        <f aca="false">(3*(V28="SÍ")+2*(W28="SÍ")+2*(X28="SÍ")+(Y28="SÍ"))*IF(LEFT(D28,1)="A",3,IF(OR(LEFT(D28,1)="B",D28="SIN HIST"),2,1))</f>
        <v>0</v>
      </c>
      <c r="AB28" s="3" t="str">
        <f aca="false">IF(AA28&gt;=9,"1-ALTA",IF(AA28&gt;=4,"2-MEDIA",IF(AA28&gt;0,"3-BAJA","")))</f>
        <v/>
      </c>
      <c r="AC28" s="3" t="str">
        <f aca="false">IF(E28="BAJO SS","Stock + XLIB bajo el SS: riesgo real de quiebre, adelantar producción. ","")&amp;IF(E28="BAJO SS (XLIB CUBRE)","Disponible bajo el SS; depende de liberar "&amp;TEXT(J28,"#,##0")&amp;" kg"&amp;IF(ISNUMBER(K28)," el "&amp;TEXT(K28,"dd-mm"),"")&amp;". ","")&amp;IF(W28="SÍ","Stock parece sano pero "&amp;TEXT(L28,"#,##0")&amp;" kg no pasan filtro "&amp;Stock_Seguridad!O28&amp;": sin ellos queda bajo el SS para esa cadena. ","")&amp;IF(E28="SOBRE MAX VENDIBLE","Sobrestock vs vida útil: frenar producción/activar venta. ","")&amp;IF(N(N28)&gt;=Parametros!$B$17,TEXT(N28,"#,##0")&amp;" kg ya no los acepta ninguna cadena: venta intermedia/liquidación. ","")&amp;IF(N(M28)&gt;=Parametros!$B$17,TEXT(M28,"#,##0")&amp;" kg a punto de salir del filtro: despachar primero (FEFO). ","")&amp;IF(Y28="SÍ","Pedidos "&amp;IF(N(U28)&gt;0,"sobre","bajo")&amp;" FCST "&amp;TEXT(ABS(N(U28)),"0%")&amp;": revisar forecast con KAM.","")</f>
        <v/>
      </c>
    </row>
    <row r="29" customFormat="false" ht="15" hidden="false" customHeight="false" outlineLevel="0" collapsed="false">
      <c r="A29" s="18" t="n">
        <f aca="false">Stock_Seguridad!A29</f>
        <v>30000206</v>
      </c>
      <c r="B29" s="18" t="str">
        <f aca="false">Stock_Seguridad!B29</f>
        <v>NECTAR WATTS MZNA LIGHT 30X200ML</v>
      </c>
      <c r="C29" s="18" t="str">
        <f aca="false">Stock_Seguridad!C29</f>
        <v>JUGOS Y NECTARES</v>
      </c>
      <c r="D29" s="18" t="str">
        <f aca="false">Stock_Seguridad!F29</f>
        <v>BX</v>
      </c>
      <c r="E29" s="19" t="str">
        <f aca="false">Stock_Seguridad!X29</f>
        <v>OK</v>
      </c>
      <c r="F29" s="20" t="n">
        <f aca="false">Stock_Seguridad!W29</f>
        <v>4.2141231536939</v>
      </c>
      <c r="G29" s="21" t="n">
        <f aca="false">Stock_Seguridad!T29</f>
        <v>65364</v>
      </c>
      <c r="H29" s="21" t="n">
        <f aca="false">Stock_Seguridad!R29</f>
        <v>4365.59025144787</v>
      </c>
      <c r="I29" s="21" t="n">
        <f aca="false">Stock_Seguridad!S29</f>
        <v>19876.2902514479</v>
      </c>
      <c r="J29" s="21" t="n">
        <f aca="false">Stock_Seguridad!U29</f>
        <v>0</v>
      </c>
      <c r="K29" s="22"/>
      <c r="L29" s="23" t="n">
        <v>726</v>
      </c>
      <c r="M29" s="23" t="n">
        <v>8688</v>
      </c>
      <c r="N29" s="23" t="n">
        <v>36</v>
      </c>
      <c r="O29" s="24" t="n">
        <v>0.081144722324384</v>
      </c>
      <c r="P29" s="24" t="n">
        <f aca="false">IF(ISNUMBER(Stock_Seguridad!N29),Stock_Seguridad!N29,"")</f>
        <v>0.192727272727273</v>
      </c>
      <c r="Q29" s="24" t="n">
        <f aca="false">IF(AND(ISNUMBER(O29),ISNUMBER(P29)),P29-O29,"")</f>
        <v>0.111582550402889</v>
      </c>
      <c r="R29" s="23" t="n">
        <f aca="false">MAX(0,G29-N(L29))</f>
        <v>64638</v>
      </c>
      <c r="S29" s="23" t="n">
        <f aca="false">SUMIFS(Cadenas_vs_FCST!$D$17:$D$652,Cadenas_vs_FCST!$A$17:$A$652,A29)</f>
        <v>40806</v>
      </c>
      <c r="T29" s="23" t="n">
        <f aca="false">SUMIFS(Cadenas_vs_FCST!$E$17:$E$652,Cadenas_vs_FCST!$A$17:$A$652,A29)</f>
        <v>47482.5620332148</v>
      </c>
      <c r="U29" s="24" t="n">
        <f aca="false">IF(T29&gt;0,S29/T29-1,"")</f>
        <v>-0.140610821053516</v>
      </c>
      <c r="V29" s="3" t="str">
        <f aca="false">IF(OR(E29="BAJO SS",E29="BAJO SS (XLIB CUBRE)"),"SÍ","")</f>
        <v/>
      </c>
      <c r="W29" s="3" t="str">
        <f aca="false">IF(AND(V29="",N(L29)&gt;=Parametros!$B$17,G29&gt;=H29,R29&lt;H29),"SÍ","")</f>
        <v/>
      </c>
      <c r="X29" s="3" t="str">
        <f aca="false">IF(OR(E29="SOBRE MAX VENDIBLE",N(N29)&gt;=Parametros!$B$17,N(M29)&gt;=Parametros!$B$17),"SÍ","")</f>
        <v>SÍ</v>
      </c>
      <c r="Y29" s="3" t="str">
        <f aca="false">IF(AND(ISNUMBER(U29),MAX(S29,T29)&gt;=Parametros!$B$15,ABS(N(U29))&gt;Parametros!$B$14),"SÍ","")</f>
        <v/>
      </c>
      <c r="Z29" s="3" t="n">
        <f aca="false">COUNTIF(V29:Y29,"SÍ")</f>
        <v>1</v>
      </c>
      <c r="AA29" s="3" t="n">
        <f aca="false">(3*(V29="SÍ")+2*(W29="SÍ")+2*(X29="SÍ")+(Y29="SÍ"))*IF(LEFT(D29,1)="A",3,IF(OR(LEFT(D29,1)="B",D29="SIN HIST"),2,1))</f>
        <v>4</v>
      </c>
      <c r="AB29" s="3" t="str">
        <f aca="false">IF(AA29&gt;=9,"1-ALTA",IF(AA29&gt;=4,"2-MEDIA",IF(AA29&gt;0,"3-BAJA","")))</f>
        <v>2-MEDIA</v>
      </c>
      <c r="AC29" s="3" t="str">
        <f aca="false">IF(E29="BAJO SS","Stock + XLIB bajo el SS: riesgo real de quiebre, adelantar producción. ","")&amp;IF(E29="BAJO SS (XLIB CUBRE)","Disponible bajo el SS; depende de liberar "&amp;TEXT(J29,"#,##0")&amp;" kg"&amp;IF(ISNUMBER(K29)," el "&amp;TEXT(K29,"dd-mm"),"")&amp;". ","")&amp;IF(W29="SÍ","Stock parece sano pero "&amp;TEXT(L29,"#,##0")&amp;" kg no pasan filtro "&amp;Stock_Seguridad!O29&amp;": sin ellos queda bajo el SS para esa cadena. ","")&amp;IF(E29="SOBRE MAX VENDIBLE","Sobrestock vs vida útil: frenar producción/activar venta. ","")&amp;IF(N(N29)&gt;=Parametros!$B$17,TEXT(N29,"#,##0")&amp;" kg ya no los acepta ninguna cadena: venta intermedia/liquidación. ","")&amp;IF(N(M29)&gt;=Parametros!$B$17,TEXT(M29,"#,##0")&amp;" kg a punto de salir del filtro: despachar primero (FEFO). ","")&amp;IF(Y29="SÍ","Pedidos "&amp;IF(N(U29)&gt;0,"sobre","bajo")&amp;" FCST "&amp;TEXT(ABS(N(U29)),"0%")&amp;": revisar forecast con KAM.","")</f>
        <v>8,688 kg a punto de salir del filtro: despachar primero (FEFO). </v>
      </c>
    </row>
    <row r="30" customFormat="false" ht="15" hidden="false" customHeight="false" outlineLevel="0" collapsed="false">
      <c r="A30" s="18" t="n">
        <f aca="false">Stock_Seguridad!A30</f>
        <v>30001684</v>
      </c>
      <c r="B30" s="18" t="str">
        <f aca="false">Stock_Seguridad!B30</f>
        <v>NECTAR WATTS DZNO S/A 30X200ML</v>
      </c>
      <c r="C30" s="18" t="str">
        <f aca="false">Stock_Seguridad!C30</f>
        <v>JUGOS Y NECTARES</v>
      </c>
      <c r="D30" s="18" t="str">
        <f aca="false">Stock_Seguridad!F30</f>
        <v>AX</v>
      </c>
      <c r="E30" s="19" t="str">
        <f aca="false">Stock_Seguridad!X30</f>
        <v>OK</v>
      </c>
      <c r="F30" s="20" t="n">
        <f aca="false">Stock_Seguridad!W30</f>
        <v>5.00453732272032</v>
      </c>
      <c r="G30" s="21" t="n">
        <f aca="false">Stock_Seguridad!T30</f>
        <v>42978</v>
      </c>
      <c r="H30" s="21" t="n">
        <f aca="false">Stock_Seguridad!R30</f>
        <v>6684.49854615629</v>
      </c>
      <c r="I30" s="21" t="n">
        <f aca="false">Stock_Seguridad!S30</f>
        <v>22112.0985461563</v>
      </c>
      <c r="J30" s="21" t="n">
        <f aca="false">Stock_Seguridad!U30</f>
        <v>34230</v>
      </c>
      <c r="K30" s="22" t="n">
        <v>46317</v>
      </c>
      <c r="L30" s="23" t="n">
        <v>264</v>
      </c>
      <c r="M30" s="23" t="n">
        <v>16746</v>
      </c>
      <c r="N30" s="23" t="n">
        <v>0</v>
      </c>
      <c r="O30" s="24" t="n">
        <v>0.0691576573073034</v>
      </c>
      <c r="P30" s="24" t="n">
        <f aca="false">IF(ISNUMBER(Stock_Seguridad!N30),Stock_Seguridad!N30,"")</f>
        <v>0.192727272727273</v>
      </c>
      <c r="Q30" s="24" t="n">
        <f aca="false">IF(AND(ISNUMBER(O30),ISNUMBER(P30)),P30-O30,"")</f>
        <v>0.123569615419969</v>
      </c>
      <c r="R30" s="23" t="n">
        <f aca="false">MAX(0,G30-N(L30))</f>
        <v>42714</v>
      </c>
      <c r="S30" s="23" t="n">
        <f aca="false">SUMIFS(Cadenas_vs_FCST!$D$17:$D$652,Cadenas_vs_FCST!$A$17:$A$652,A30)</f>
        <v>55818</v>
      </c>
      <c r="T30" s="23" t="n">
        <f aca="false">SUMIFS(Cadenas_vs_FCST!$E$17:$E$652,Cadenas_vs_FCST!$A$17:$A$652,A30)</f>
        <v>63864.7470800718</v>
      </c>
      <c r="U30" s="24" t="n">
        <f aca="false">IF(T30&gt;0,S30/T30-1,"")</f>
        <v>-0.125996695328379</v>
      </c>
      <c r="V30" s="3" t="str">
        <f aca="false">IF(OR(E30="BAJO SS",E30="BAJO SS (XLIB CUBRE)"),"SÍ","")</f>
        <v/>
      </c>
      <c r="W30" s="3" t="str">
        <f aca="false">IF(AND(V30="",N(L30)&gt;=Parametros!$B$17,G30&gt;=H30,R30&lt;H30),"SÍ","")</f>
        <v/>
      </c>
      <c r="X30" s="3" t="str">
        <f aca="false">IF(OR(E30="SOBRE MAX VENDIBLE",N(N30)&gt;=Parametros!$B$17,N(M30)&gt;=Parametros!$B$17),"SÍ","")</f>
        <v>SÍ</v>
      </c>
      <c r="Y30" s="3" t="str">
        <f aca="false">IF(AND(ISNUMBER(U30),MAX(S30,T30)&gt;=Parametros!$B$15,ABS(N(U30))&gt;Parametros!$B$14),"SÍ","")</f>
        <v/>
      </c>
      <c r="Z30" s="3" t="n">
        <f aca="false">COUNTIF(V30:Y30,"SÍ")</f>
        <v>1</v>
      </c>
      <c r="AA30" s="3" t="n">
        <f aca="false">(3*(V30="SÍ")+2*(W30="SÍ")+2*(X30="SÍ")+(Y30="SÍ"))*IF(LEFT(D30,1)="A",3,IF(OR(LEFT(D30,1)="B",D30="SIN HIST"),2,1))</f>
        <v>6</v>
      </c>
      <c r="AB30" s="3" t="str">
        <f aca="false">IF(AA30&gt;=9,"1-ALTA",IF(AA30&gt;=4,"2-MEDIA",IF(AA30&gt;0,"3-BAJA","")))</f>
        <v>2-MEDIA</v>
      </c>
      <c r="AC30" s="3" t="str">
        <f aca="false">IF(E30="BAJO SS","Stock + XLIB bajo el SS: riesgo real de quiebre, adelantar producción. ","")&amp;IF(E30="BAJO SS (XLIB CUBRE)","Disponible bajo el SS; depende de liberar "&amp;TEXT(J30,"#,##0")&amp;" kg"&amp;IF(ISNUMBER(K30)," el "&amp;TEXT(K30,"dd-mm"),"")&amp;". ","")&amp;IF(W30="SÍ","Stock parece sano pero "&amp;TEXT(L30,"#,##0")&amp;" kg no pasan filtro "&amp;Stock_Seguridad!O30&amp;": sin ellos queda bajo el SS para esa cadena. ","")&amp;IF(E30="SOBRE MAX VENDIBLE","Sobrestock vs vida útil: frenar producción/activar venta. ","")&amp;IF(N(N30)&gt;=Parametros!$B$17,TEXT(N30,"#,##0")&amp;" kg ya no los acepta ninguna cadena: venta intermedia/liquidación. ","")&amp;IF(N(M30)&gt;=Parametros!$B$17,TEXT(M30,"#,##0")&amp;" kg a punto de salir del filtro: despachar primero (FEFO). ","")&amp;IF(Y30="SÍ","Pedidos "&amp;IF(N(U30)&gt;0,"sobre","bajo")&amp;" FCST "&amp;TEXT(ABS(N(U30)),"0%")&amp;": revisar forecast con KAM.","")</f>
        <v>16,746 kg a punto de salir del filtro: despachar primero (FEFO). </v>
      </c>
    </row>
    <row r="31" customFormat="false" ht="15" hidden="false" customHeight="false" outlineLevel="0" collapsed="false">
      <c r="A31" s="18" t="n">
        <f aca="false">Stock_Seguridad!A31</f>
        <v>30001409</v>
      </c>
      <c r="B31" s="18" t="str">
        <f aca="false">Stock_Seguridad!B31</f>
        <v>LECHE POLVO CALO ENTERA INST 20X850GR</v>
      </c>
      <c r="C31" s="18" t="str">
        <f aca="false">Stock_Seguridad!C31</f>
        <v>LECHES EN POLVO</v>
      </c>
      <c r="D31" s="18" t="str">
        <f aca="false">Stock_Seguridad!F31</f>
        <v>AX</v>
      </c>
      <c r="E31" s="19" t="str">
        <f aca="false">Stock_Seguridad!X31</f>
        <v>OK</v>
      </c>
      <c r="F31" s="20" t="n">
        <f aca="false">Stock_Seguridad!W31</f>
        <v>5.38916542336181</v>
      </c>
      <c r="G31" s="21" t="n">
        <f aca="false">Stock_Seguridad!T31</f>
        <v>81634</v>
      </c>
      <c r="H31" s="21" t="n">
        <f aca="false">Stock_Seguridad!R31</f>
        <v>8565.58280379853</v>
      </c>
      <c r="I31" s="21" t="n">
        <f aca="false">Stock_Seguridad!S31</f>
        <v>23713.3828037985</v>
      </c>
      <c r="J31" s="21" t="n">
        <f aca="false">Stock_Seguridad!U31</f>
        <v>0</v>
      </c>
      <c r="K31" s="22"/>
      <c r="L31" s="23" t="n">
        <v>0</v>
      </c>
      <c r="M31" s="23" t="n">
        <v>0</v>
      </c>
      <c r="N31" s="23" t="n">
        <v>0</v>
      </c>
      <c r="O31" s="24" t="n">
        <v>0.0518446398659967</v>
      </c>
      <c r="P31" s="24" t="n">
        <f aca="false">IF(ISNUMBER(Stock_Seguridad!N31),Stock_Seguridad!N31,"")</f>
        <v>0.32054794520548</v>
      </c>
      <c r="Q31" s="24" t="n">
        <f aca="false">IF(AND(ISNUMBER(O31),ISNUMBER(P31)),P31-O31,"")</f>
        <v>0.268703305339483</v>
      </c>
      <c r="R31" s="23" t="n">
        <f aca="false">MAX(0,G31-N(L31))</f>
        <v>81634</v>
      </c>
      <c r="S31" s="23" t="n">
        <f aca="false">SUMIFS(Cadenas_vs_FCST!$D$17:$D$652,Cadenas_vs_FCST!$A$17:$A$652,A31)</f>
        <v>60299</v>
      </c>
      <c r="T31" s="23" t="n">
        <f aca="false">SUMIFS(Cadenas_vs_FCST!$E$17:$E$652,Cadenas_vs_FCST!$A$17:$A$652,A31)</f>
        <v>66053.3224823844</v>
      </c>
      <c r="U31" s="24" t="n">
        <f aca="false">IF(T31&gt;0,S31/T31-1,"")</f>
        <v>-0.0871163215736656</v>
      </c>
      <c r="V31" s="3" t="str">
        <f aca="false">IF(OR(E31="BAJO SS",E31="BAJO SS (XLIB CUBRE)"),"SÍ","")</f>
        <v/>
      </c>
      <c r="W31" s="3" t="str">
        <f aca="false">IF(AND(V31="",N(L31)&gt;=Parametros!$B$17,G31&gt;=H31,R31&lt;H31),"SÍ","")</f>
        <v/>
      </c>
      <c r="X31" s="3" t="str">
        <f aca="false">IF(OR(E31="SOBRE MAX VENDIBLE",N(N31)&gt;=Parametros!$B$17,N(M31)&gt;=Parametros!$B$17),"SÍ","")</f>
        <v/>
      </c>
      <c r="Y31" s="3" t="str">
        <f aca="false">IF(AND(ISNUMBER(U31),MAX(S31,T31)&gt;=Parametros!$B$15,ABS(N(U31))&gt;Parametros!$B$14),"SÍ","")</f>
        <v/>
      </c>
      <c r="Z31" s="3" t="n">
        <f aca="false">COUNTIF(V31:Y31,"SÍ")</f>
        <v>0</v>
      </c>
      <c r="AA31" s="3" t="n">
        <f aca="false">(3*(V31="SÍ")+2*(W31="SÍ")+2*(X31="SÍ")+(Y31="SÍ"))*IF(LEFT(D31,1)="A",3,IF(OR(LEFT(D31,1)="B",D31="SIN HIST"),2,1))</f>
        <v>0</v>
      </c>
      <c r="AB31" s="3" t="str">
        <f aca="false">IF(AA31&gt;=9,"1-ALTA",IF(AA31&gt;=4,"2-MEDIA",IF(AA31&gt;0,"3-BAJA","")))</f>
        <v/>
      </c>
      <c r="AC31" s="3" t="str">
        <f aca="false">IF(E31="BAJO SS","Stock + XLIB bajo el SS: riesgo real de quiebre, adelantar producción. ","")&amp;IF(E31="BAJO SS (XLIB CUBRE)","Disponible bajo el SS; depende de liberar "&amp;TEXT(J31,"#,##0")&amp;" kg"&amp;IF(ISNUMBER(K31)," el "&amp;TEXT(K31,"dd-mm"),"")&amp;". ","")&amp;IF(W31="SÍ","Stock parece sano pero "&amp;TEXT(L31,"#,##0")&amp;" kg no pasan filtro "&amp;Stock_Seguridad!O31&amp;": sin ellos queda bajo el SS para esa cadena. ","")&amp;IF(E31="SOBRE MAX VENDIBLE","Sobrestock vs vida útil: frenar producción/activar venta. ","")&amp;IF(N(N31)&gt;=Parametros!$B$17,TEXT(N31,"#,##0")&amp;" kg ya no los acepta ninguna cadena: venta intermedia/liquidación. ","")&amp;IF(N(M31)&gt;=Parametros!$B$17,TEXT(M31,"#,##0")&amp;" kg a punto de salir del filtro: despachar primero (FEFO). ","")&amp;IF(Y31="SÍ","Pedidos "&amp;IF(N(U31)&gt;0,"sobre","bajo")&amp;" FCST "&amp;TEXT(ABS(N(U31)),"0%")&amp;": revisar forecast con KAM.","")</f>
        <v/>
      </c>
    </row>
    <row r="32" customFormat="false" ht="15" hidden="false" customHeight="false" outlineLevel="0" collapsed="false">
      <c r="A32" s="18" t="n">
        <f aca="false">Stock_Seguridad!A32</f>
        <v>30002330</v>
      </c>
      <c r="B32" s="18" t="str">
        <f aca="false">Stock_Seguridad!B32</f>
        <v>LECHE LONCO PROTEIN CHOCOLATE 30X200ML</v>
      </c>
      <c r="C32" s="18" t="str">
        <f aca="false">Stock_Seguridad!C32</f>
        <v>LECHES LIQUIDAS</v>
      </c>
      <c r="D32" s="18" t="str">
        <f aca="false">Stock_Seguridad!F32</f>
        <v>BX</v>
      </c>
      <c r="E32" s="19" t="str">
        <f aca="false">Stock_Seguridad!X32</f>
        <v>OK</v>
      </c>
      <c r="F32" s="20" t="n">
        <f aca="false">Stock_Seguridad!W32</f>
        <v>2.08016962264692</v>
      </c>
      <c r="G32" s="21" t="n">
        <f aca="false">Stock_Seguridad!T32</f>
        <v>29040</v>
      </c>
      <c r="H32" s="21" t="n">
        <f aca="false">Stock_Seguridad!R32</f>
        <v>10140.1975064681</v>
      </c>
      <c r="I32" s="21" t="n">
        <f aca="false">Stock_Seguridad!S32</f>
        <v>24100.5975064681</v>
      </c>
      <c r="J32" s="21" t="n">
        <f aca="false">Stock_Seguridad!U32</f>
        <v>0</v>
      </c>
      <c r="K32" s="22"/>
      <c r="L32" s="23" t="n">
        <v>0</v>
      </c>
      <c r="M32" s="23" t="n">
        <v>0</v>
      </c>
      <c r="N32" s="23" t="n">
        <v>0</v>
      </c>
      <c r="O32" s="24" t="n">
        <v>0.102776859504132</v>
      </c>
      <c r="P32" s="24" t="str">
        <f aca="false">IF(ISNUMBER(Stock_Seguridad!N32),Stock_Seguridad!N32,"")</f>
        <v/>
      </c>
      <c r="Q32" s="24" t="str">
        <f aca="false">IF(AND(ISNUMBER(O32),ISNUMBER(P32)),P32-O32,"")</f>
        <v/>
      </c>
      <c r="R32" s="23" t="n">
        <f aca="false">MAX(0,G32-N(L32))</f>
        <v>29040</v>
      </c>
      <c r="S32" s="23" t="n">
        <f aca="false">SUMIFS(Cadenas_vs_FCST!$D$17:$D$652,Cadenas_vs_FCST!$A$17:$A$652,A32)</f>
        <v>57954</v>
      </c>
      <c r="T32" s="23" t="n">
        <f aca="false">SUMIFS(Cadenas_vs_FCST!$E$17:$E$652,Cadenas_vs_FCST!$A$17:$A$652,A32)</f>
        <v>40869.7276297603</v>
      </c>
      <c r="U32" s="24" t="n">
        <f aca="false">IF(T32&gt;0,S32/T32-1,"")</f>
        <v>0.418017769166619</v>
      </c>
      <c r="V32" s="3" t="str">
        <f aca="false">IF(OR(E32="BAJO SS",E32="BAJO SS (XLIB CUBRE)"),"SÍ","")</f>
        <v/>
      </c>
      <c r="W32" s="3" t="str">
        <f aca="false">IF(AND(V32="",N(L32)&gt;=Parametros!$B$17,G32&gt;=H32,R32&lt;H32),"SÍ","")</f>
        <v/>
      </c>
      <c r="X32" s="3" t="str">
        <f aca="false">IF(OR(E32="SOBRE MAX VENDIBLE",N(N32)&gt;=Parametros!$B$17,N(M32)&gt;=Parametros!$B$17),"SÍ","")</f>
        <v/>
      </c>
      <c r="Y32" s="3" t="str">
        <f aca="false">IF(AND(ISNUMBER(U32),MAX(S32,T32)&gt;=Parametros!$B$15,ABS(N(U32))&gt;Parametros!$B$14),"SÍ","")</f>
        <v>SÍ</v>
      </c>
      <c r="Z32" s="3" t="n">
        <f aca="false">COUNTIF(V32:Y32,"SÍ")</f>
        <v>1</v>
      </c>
      <c r="AA32" s="3" t="n">
        <f aca="false">(3*(V32="SÍ")+2*(W32="SÍ")+2*(X32="SÍ")+(Y32="SÍ"))*IF(LEFT(D32,1)="A",3,IF(OR(LEFT(D32,1)="B",D32="SIN HIST"),2,1))</f>
        <v>2</v>
      </c>
      <c r="AB32" s="3" t="str">
        <f aca="false">IF(AA32&gt;=9,"1-ALTA",IF(AA32&gt;=4,"2-MEDIA",IF(AA32&gt;0,"3-BAJA","")))</f>
        <v>3-BAJA</v>
      </c>
      <c r="AC32" s="3" t="str">
        <f aca="false">IF(E32="BAJO SS","Stock + XLIB bajo el SS: riesgo real de quiebre, adelantar producción. ","")&amp;IF(E32="BAJO SS (XLIB CUBRE)","Disponible bajo el SS; depende de liberar "&amp;TEXT(J32,"#,##0")&amp;" kg"&amp;IF(ISNUMBER(K32)," el "&amp;TEXT(K32,"dd-mm"),"")&amp;". ","")&amp;IF(W32="SÍ","Stock parece sano pero "&amp;TEXT(L32,"#,##0")&amp;" kg no pasan filtro "&amp;Stock_Seguridad!O32&amp;": sin ellos queda bajo el SS para esa cadena. ","")&amp;IF(E32="SOBRE MAX VENDIBLE","Sobrestock vs vida útil: frenar producción/activar venta. ","")&amp;IF(N(N32)&gt;=Parametros!$B$17,TEXT(N32,"#,##0")&amp;" kg ya no los acepta ninguna cadena: venta intermedia/liquidación. ","")&amp;IF(N(M32)&gt;=Parametros!$B$17,TEXT(M32,"#,##0")&amp;" kg a punto de salir del filtro: despachar primero (FEFO). ","")&amp;IF(Y32="SÍ","Pedidos "&amp;IF(N(U32)&gt;0,"sobre","bajo")&amp;" FCST "&amp;TEXT(ABS(N(U32)),"0%")&amp;": revisar forecast con KAM.","")</f>
        <v>Pedidos sobre FCST 42%: revisar forecast con KAM.</v>
      </c>
    </row>
    <row r="33" customFormat="false" ht="15" hidden="false" customHeight="false" outlineLevel="0" collapsed="false">
      <c r="A33" s="18" t="n">
        <f aca="false">Stock_Seguridad!A33</f>
        <v>30002177</v>
      </c>
      <c r="B33" s="18" t="str">
        <f aca="false">Stock_Seguridad!B33</f>
        <v>MANJAR LONCOLECHE BOLSA 10X920GR</v>
      </c>
      <c r="C33" s="18" t="str">
        <f aca="false">Stock_Seguridad!C33</f>
        <v>MANJAR</v>
      </c>
      <c r="D33" s="18" t="str">
        <f aca="false">Stock_Seguridad!F33</f>
        <v>BX</v>
      </c>
      <c r="E33" s="19" t="str">
        <f aca="false">Stock_Seguridad!X33</f>
        <v>SOBRE MAX VENDIBLE</v>
      </c>
      <c r="F33" s="20" t="n">
        <f aca="false">Stock_Seguridad!W33</f>
        <v>5.0768947303771</v>
      </c>
      <c r="G33" s="21" t="n">
        <f aca="false">Stock_Seguridad!T33</f>
        <v>66129.6</v>
      </c>
      <c r="H33" s="21" t="n">
        <f aca="false">Stock_Seguridad!R33</f>
        <v>5963.65220517044</v>
      </c>
      <c r="I33" s="21" t="n">
        <f aca="false">Stock_Seguridad!S33</f>
        <v>18989.2522051704</v>
      </c>
      <c r="J33" s="21" t="n">
        <f aca="false">Stock_Seguridad!U33</f>
        <v>0</v>
      </c>
      <c r="K33" s="22"/>
      <c r="L33" s="23" t="n">
        <v>3367.2</v>
      </c>
      <c r="M33" s="23" t="n">
        <v>9862.4</v>
      </c>
      <c r="N33" s="23" t="n">
        <v>0</v>
      </c>
      <c r="O33" s="24" t="n">
        <v>0.0830147468002226</v>
      </c>
      <c r="P33" s="24" t="n">
        <f aca="false">IF(ISNUMBER(Stock_Seguridad!N33),Stock_Seguridad!N33,"")</f>
        <v>0.190217391304348</v>
      </c>
      <c r="Q33" s="24" t="n">
        <f aca="false">IF(AND(ISNUMBER(O33),ISNUMBER(P33)),P33-O33,"")</f>
        <v>0.107202644504125</v>
      </c>
      <c r="R33" s="23" t="n">
        <f aca="false">MAX(0,G33-N(L33))</f>
        <v>62762.4</v>
      </c>
      <c r="S33" s="23" t="n">
        <f aca="false">SUMIFS(Cadenas_vs_FCST!$D$17:$D$652,Cadenas_vs_FCST!$A$17:$A$652,A33)</f>
        <v>46791.2</v>
      </c>
      <c r="T33" s="23" t="n">
        <f aca="false">SUMIFS(Cadenas_vs_FCST!$E$17:$E$652,Cadenas_vs_FCST!$A$17:$A$652,A33)</f>
        <v>48916.3982926305</v>
      </c>
      <c r="U33" s="24" t="n">
        <f aca="false">IF(T33&gt;0,S33/T33-1,"")</f>
        <v>-0.0434455186155992</v>
      </c>
      <c r="V33" s="3" t="str">
        <f aca="false">IF(OR(E33="BAJO SS",E33="BAJO SS (XLIB CUBRE)"),"SÍ","")</f>
        <v/>
      </c>
      <c r="W33" s="3" t="str">
        <f aca="false">IF(AND(V33="",N(L33)&gt;=Parametros!$B$17,G33&gt;=H33,R33&lt;H33),"SÍ","")</f>
        <v/>
      </c>
      <c r="X33" s="3" t="str">
        <f aca="false">IF(OR(E33="SOBRE MAX VENDIBLE",N(N33)&gt;=Parametros!$B$17,N(M33)&gt;=Parametros!$B$17),"SÍ","")</f>
        <v>SÍ</v>
      </c>
      <c r="Y33" s="3" t="str">
        <f aca="false">IF(AND(ISNUMBER(U33),MAX(S33,T33)&gt;=Parametros!$B$15,ABS(N(U33))&gt;Parametros!$B$14),"SÍ","")</f>
        <v/>
      </c>
      <c r="Z33" s="3" t="n">
        <f aca="false">COUNTIF(V33:Y33,"SÍ")</f>
        <v>1</v>
      </c>
      <c r="AA33" s="3" t="n">
        <f aca="false">(3*(V33="SÍ")+2*(W33="SÍ")+2*(X33="SÍ")+(Y33="SÍ"))*IF(LEFT(D33,1)="A",3,IF(OR(LEFT(D33,1)="B",D33="SIN HIST"),2,1))</f>
        <v>4</v>
      </c>
      <c r="AB33" s="3" t="str">
        <f aca="false">IF(AA33&gt;=9,"1-ALTA",IF(AA33&gt;=4,"2-MEDIA",IF(AA33&gt;0,"3-BAJA","")))</f>
        <v>2-MEDIA</v>
      </c>
      <c r="AC33" s="3" t="str">
        <f aca="false">IF(E33="BAJO SS","Stock + XLIB bajo el SS: riesgo real de quiebre, adelantar producción. ","")&amp;IF(E33="BAJO SS (XLIB CUBRE)","Disponible bajo el SS; depende de liberar "&amp;TEXT(J33,"#,##0")&amp;" kg"&amp;IF(ISNUMBER(K33)," el "&amp;TEXT(K33,"dd-mm"),"")&amp;". ","")&amp;IF(W33="SÍ","Stock parece sano pero "&amp;TEXT(L33,"#,##0")&amp;" kg no pasan filtro "&amp;Stock_Seguridad!O33&amp;": sin ellos queda bajo el SS para esa cadena. ","")&amp;IF(E33="SOBRE MAX VENDIBLE","Sobrestock vs vida útil: frenar producción/activar venta. ","")&amp;IF(N(N33)&gt;=Parametros!$B$17,TEXT(N33,"#,##0")&amp;" kg ya no los acepta ninguna cadena: venta intermedia/liquidación. ","")&amp;IF(N(M33)&gt;=Parametros!$B$17,TEXT(M33,"#,##0")&amp;" kg a punto de salir del filtro: despachar primero (FEFO). ","")&amp;IF(Y33="SÍ","Pedidos "&amp;IF(N(U33)&gt;0,"sobre","bajo")&amp;" FCST "&amp;TEXT(ABS(N(U33)),"0%")&amp;": revisar forecast con KAM.","")</f>
        <v>Sobrestock vs vida útil: frenar producción/activar venta. 9,862 kg a punto de salir del filtro: despachar primero (FEFO). </v>
      </c>
    </row>
    <row r="34" customFormat="false" ht="15" hidden="false" customHeight="false" outlineLevel="0" collapsed="false">
      <c r="A34" s="18" t="n">
        <f aca="false">Stock_Seguridad!A34</f>
        <v>30000398</v>
      </c>
      <c r="B34" s="18" t="str">
        <f aca="false">Stock_Seguridad!B34</f>
        <v>LECHE S/LACT CHOC LONCO 30X200ML</v>
      </c>
      <c r="C34" s="18" t="str">
        <f aca="false">Stock_Seguridad!C34</f>
        <v>LECHES LIQUIDAS</v>
      </c>
      <c r="D34" s="18" t="str">
        <f aca="false">Stock_Seguridad!F34</f>
        <v>BX</v>
      </c>
      <c r="E34" s="19" t="str">
        <f aca="false">Stock_Seguridad!X34</f>
        <v>OK</v>
      </c>
      <c r="F34" s="20" t="n">
        <f aca="false">Stock_Seguridad!W34</f>
        <v>3.41994970662196</v>
      </c>
      <c r="G34" s="21" t="n">
        <f aca="false">Stock_Seguridad!T34</f>
        <v>37944</v>
      </c>
      <c r="H34" s="21" t="n">
        <f aca="false">Stock_Seguridad!R34</f>
        <v>4748.25600647123</v>
      </c>
      <c r="I34" s="21" t="n">
        <f aca="false">Stock_Seguridad!S34</f>
        <v>15843.1560064712</v>
      </c>
      <c r="J34" s="21" t="n">
        <f aca="false">Stock_Seguridad!U34</f>
        <v>0</v>
      </c>
      <c r="K34" s="22"/>
      <c r="L34" s="23" t="n">
        <v>156</v>
      </c>
      <c r="M34" s="23" t="n">
        <v>3048</v>
      </c>
      <c r="N34" s="23" t="n">
        <v>0</v>
      </c>
      <c r="O34" s="24" t="n">
        <v>0.0888032968774766</v>
      </c>
      <c r="P34" s="24" t="n">
        <f aca="false">IF(ISNUMBER(Stock_Seguridad!N34),Stock_Seguridad!N34,"")</f>
        <v>0.259259259259259</v>
      </c>
      <c r="Q34" s="24" t="n">
        <f aca="false">IF(AND(ISNUMBER(O34),ISNUMBER(P34)),P34-O34,"")</f>
        <v>0.170455962381783</v>
      </c>
      <c r="R34" s="23" t="n">
        <f aca="false">MAX(0,G34-N(L34))</f>
        <v>37788</v>
      </c>
      <c r="S34" s="23" t="n">
        <f aca="false">SUMIFS(Cadenas_vs_FCST!$D$17:$D$652,Cadenas_vs_FCST!$A$17:$A$652,A34)</f>
        <v>44634</v>
      </c>
      <c r="T34" s="23" t="n">
        <f aca="false">SUMIFS(Cadenas_vs_FCST!$E$17:$E$652,Cadenas_vs_FCST!$A$17:$A$652,A34)</f>
        <v>37069.817447751</v>
      </c>
      <c r="U34" s="24" t="n">
        <f aca="false">IF(T34&gt;0,S34/T34-1,"")</f>
        <v>0.204052328094426</v>
      </c>
      <c r="V34" s="3" t="str">
        <f aca="false">IF(OR(E34="BAJO SS",E34="BAJO SS (XLIB CUBRE)"),"SÍ","")</f>
        <v/>
      </c>
      <c r="W34" s="3" t="str">
        <f aca="false">IF(AND(V34="",N(L34)&gt;=Parametros!$B$17,G34&gt;=H34,R34&lt;H34),"SÍ","")</f>
        <v/>
      </c>
      <c r="X34" s="3" t="str">
        <f aca="false">IF(OR(E34="SOBRE MAX VENDIBLE",N(N34)&gt;=Parametros!$B$17,N(M34)&gt;=Parametros!$B$17),"SÍ","")</f>
        <v>SÍ</v>
      </c>
      <c r="Y34" s="3" t="str">
        <f aca="false">IF(AND(ISNUMBER(U34),MAX(S34,T34)&gt;=Parametros!$B$15,ABS(N(U34))&gt;Parametros!$B$14),"SÍ","")</f>
        <v>SÍ</v>
      </c>
      <c r="Z34" s="3" t="n">
        <f aca="false">COUNTIF(V34:Y34,"SÍ")</f>
        <v>2</v>
      </c>
      <c r="AA34" s="3" t="n">
        <f aca="false">(3*(V34="SÍ")+2*(W34="SÍ")+2*(X34="SÍ")+(Y34="SÍ"))*IF(LEFT(D34,1)="A",3,IF(OR(LEFT(D34,1)="B",D34="SIN HIST"),2,1))</f>
        <v>6</v>
      </c>
      <c r="AB34" s="3" t="str">
        <f aca="false">IF(AA34&gt;=9,"1-ALTA",IF(AA34&gt;=4,"2-MEDIA",IF(AA34&gt;0,"3-BAJA","")))</f>
        <v>2-MEDIA</v>
      </c>
      <c r="AC34" s="3" t="str">
        <f aca="false">IF(E34="BAJO SS","Stock + XLIB bajo el SS: riesgo real de quiebre, adelantar producción. ","")&amp;IF(E34="BAJO SS (XLIB CUBRE)","Disponible bajo el SS; depende de liberar "&amp;TEXT(J34,"#,##0")&amp;" kg"&amp;IF(ISNUMBER(K34)," el "&amp;TEXT(K34,"dd-mm"),"")&amp;". ","")&amp;IF(W34="SÍ","Stock parece sano pero "&amp;TEXT(L34,"#,##0")&amp;" kg no pasan filtro "&amp;Stock_Seguridad!O34&amp;": sin ellos queda bajo el SS para esa cadena. ","")&amp;IF(E34="SOBRE MAX VENDIBLE","Sobrestock vs vida útil: frenar producción/activar venta. ","")&amp;IF(N(N34)&gt;=Parametros!$B$17,TEXT(N34,"#,##0")&amp;" kg ya no los acepta ninguna cadena: venta intermedia/liquidación. ","")&amp;IF(N(M34)&gt;=Parametros!$B$17,TEXT(M34,"#,##0")&amp;" kg a punto de salir del filtro: despachar primero (FEFO). ","")&amp;IF(Y34="SÍ","Pedidos "&amp;IF(N(U34)&gt;0,"sobre","bajo")&amp;" FCST "&amp;TEXT(ABS(N(U34)),"0%")&amp;": revisar forecast con KAM.","")</f>
        <v>3,048 kg a punto de salir del filtro: despachar primero (FEFO). Pedidos sobre FCST 20%: revisar forecast con KAM.</v>
      </c>
    </row>
    <row r="35" customFormat="false" ht="15" hidden="false" customHeight="false" outlineLevel="0" collapsed="false">
      <c r="A35" s="18" t="n">
        <f aca="false">Stock_Seguridad!A35</f>
        <v>30000207</v>
      </c>
      <c r="B35" s="18" t="str">
        <f aca="false">Stock_Seguridad!B35</f>
        <v>NECTAR WATTS PIÑA LIGHT 30X200ML</v>
      </c>
      <c r="C35" s="18" t="str">
        <f aca="false">Stock_Seguridad!C35</f>
        <v>JUGOS Y NECTARES</v>
      </c>
      <c r="D35" s="18" t="str">
        <f aca="false">Stock_Seguridad!F35</f>
        <v>BX</v>
      </c>
      <c r="E35" s="19" t="str">
        <f aca="false">Stock_Seguridad!X35</f>
        <v>OK</v>
      </c>
      <c r="F35" s="20" t="n">
        <f aca="false">Stock_Seguridad!W35</f>
        <v>6.85772065186697</v>
      </c>
      <c r="G35" s="21" t="n">
        <f aca="false">Stock_Seguridad!T35</f>
        <v>28002</v>
      </c>
      <c r="H35" s="21" t="n">
        <f aca="false">Stock_Seguridad!R35</f>
        <v>3067.21004014213</v>
      </c>
      <c r="I35" s="21" t="n">
        <f aca="false">Stock_Seguridad!S35</f>
        <v>14044.9100401421</v>
      </c>
      <c r="J35" s="21" t="n">
        <f aca="false">Stock_Seguridad!U35</f>
        <v>47280</v>
      </c>
      <c r="K35" s="22" t="n">
        <v>46318</v>
      </c>
      <c r="L35" s="23" t="n">
        <v>168</v>
      </c>
      <c r="M35" s="23" t="n">
        <v>0</v>
      </c>
      <c r="N35" s="23" t="n">
        <v>0</v>
      </c>
      <c r="O35" s="24" t="n">
        <v>0.0479650606253989</v>
      </c>
      <c r="P35" s="24" t="n">
        <f aca="false">IF(ISNUMBER(Stock_Seguridad!N35),Stock_Seguridad!N35,"")</f>
        <v>0.316363636363636</v>
      </c>
      <c r="Q35" s="24" t="n">
        <f aca="false">IF(AND(ISNUMBER(O35),ISNUMBER(P35)),P35-O35,"")</f>
        <v>0.268398575738238</v>
      </c>
      <c r="R35" s="23" t="n">
        <f aca="false">MAX(0,G35-N(L35))</f>
        <v>27834</v>
      </c>
      <c r="S35" s="23" t="n">
        <f aca="false">SUMIFS(Cadenas_vs_FCST!$D$17:$D$652,Cadenas_vs_FCST!$A$17:$A$652,A35)</f>
        <v>35460</v>
      </c>
      <c r="T35" s="23" t="n">
        <f aca="false">SUMIFS(Cadenas_vs_FCST!$E$17:$E$652,Cadenas_vs_FCST!$A$17:$A$652,A35)</f>
        <v>38111.7479720408</v>
      </c>
      <c r="U35" s="24" t="n">
        <f aca="false">IF(T35&gt;0,S35/T35-1,"")</f>
        <v>-0.0695782301558607</v>
      </c>
      <c r="V35" s="3" t="str">
        <f aca="false">IF(OR(E35="BAJO SS",E35="BAJO SS (XLIB CUBRE)"),"SÍ","")</f>
        <v/>
      </c>
      <c r="W35" s="3" t="str">
        <f aca="false">IF(AND(V35="",N(L35)&gt;=Parametros!$B$17,G35&gt;=H35,R35&lt;H35),"SÍ","")</f>
        <v/>
      </c>
      <c r="X35" s="3" t="str">
        <f aca="false">IF(OR(E35="SOBRE MAX VENDIBLE",N(N35)&gt;=Parametros!$B$17,N(M35)&gt;=Parametros!$B$17),"SÍ","")</f>
        <v/>
      </c>
      <c r="Y35" s="3" t="str">
        <f aca="false">IF(AND(ISNUMBER(U35),MAX(S35,T35)&gt;=Parametros!$B$15,ABS(N(U35))&gt;Parametros!$B$14),"SÍ","")</f>
        <v/>
      </c>
      <c r="Z35" s="3" t="n">
        <f aca="false">COUNTIF(V35:Y35,"SÍ")</f>
        <v>0</v>
      </c>
      <c r="AA35" s="3" t="n">
        <f aca="false">(3*(V35="SÍ")+2*(W35="SÍ")+2*(X35="SÍ")+(Y35="SÍ"))*IF(LEFT(D35,1)="A",3,IF(OR(LEFT(D35,1)="B",D35="SIN HIST"),2,1))</f>
        <v>0</v>
      </c>
      <c r="AB35" s="3" t="str">
        <f aca="false">IF(AA35&gt;=9,"1-ALTA",IF(AA35&gt;=4,"2-MEDIA",IF(AA35&gt;0,"3-BAJA","")))</f>
        <v/>
      </c>
      <c r="AC35" s="3" t="str">
        <f aca="false">IF(E35="BAJO SS","Stock + XLIB bajo el SS: riesgo real de quiebre, adelantar producción. ","")&amp;IF(E35="BAJO SS (XLIB CUBRE)","Disponible bajo el SS; depende de liberar "&amp;TEXT(J35,"#,##0")&amp;" kg"&amp;IF(ISNUMBER(K35)," el "&amp;TEXT(K35,"dd-mm"),"")&amp;". ","")&amp;IF(W35="SÍ","Stock parece sano pero "&amp;TEXT(L35,"#,##0")&amp;" kg no pasan filtro "&amp;Stock_Seguridad!O35&amp;": sin ellos queda bajo el SS para esa cadena. ","")&amp;IF(E35="SOBRE MAX VENDIBLE","Sobrestock vs vida útil: frenar producción/activar venta. ","")&amp;IF(N(N35)&gt;=Parametros!$B$17,TEXT(N35,"#,##0")&amp;" kg ya no los acepta ninguna cadena: venta intermedia/liquidación. ","")&amp;IF(N(M35)&gt;=Parametros!$B$17,TEXT(M35,"#,##0")&amp;" kg a punto de salir del filtro: despachar primero (FEFO). ","")&amp;IF(Y35="SÍ","Pedidos "&amp;IF(N(U35)&gt;0,"sobre","bajo")&amp;" FCST "&amp;TEXT(ABS(N(U35)),"0%")&amp;": revisar forecast con KAM.","")</f>
        <v/>
      </c>
    </row>
    <row r="36" customFormat="false" ht="15" hidden="false" customHeight="false" outlineLevel="0" collapsed="false">
      <c r="A36" s="18" t="n">
        <f aca="false">Stock_Seguridad!A36</f>
        <v>30000300</v>
      </c>
      <c r="B36" s="18" t="str">
        <f aca="false">Stock_Seguridad!B36</f>
        <v>LECHE PLATANO LONCO 30X200ML</v>
      </c>
      <c r="C36" s="18" t="str">
        <f aca="false">Stock_Seguridad!C36</f>
        <v>LECHES LIQUIDAS</v>
      </c>
      <c r="D36" s="18" t="str">
        <f aca="false">Stock_Seguridad!F36</f>
        <v>BX</v>
      </c>
      <c r="E36" s="19" t="str">
        <f aca="false">Stock_Seguridad!X36</f>
        <v>OK</v>
      </c>
      <c r="F36" s="20" t="n">
        <f aca="false">Stock_Seguridad!W36</f>
        <v>3.42535620986957</v>
      </c>
      <c r="G36" s="21" t="n">
        <f aca="false">Stock_Seguridad!T36</f>
        <v>35796</v>
      </c>
      <c r="H36" s="21" t="n">
        <f aca="false">Stock_Seguridad!R36</f>
        <v>6546.68139155746</v>
      </c>
      <c r="I36" s="21" t="n">
        <f aca="false">Stock_Seguridad!S36</f>
        <v>16996.9813915575</v>
      </c>
      <c r="J36" s="21" t="n">
        <f aca="false">Stock_Seguridad!U36</f>
        <v>0</v>
      </c>
      <c r="K36" s="22"/>
      <c r="L36" s="23" t="n">
        <v>330</v>
      </c>
      <c r="M36" s="23" t="n">
        <v>0</v>
      </c>
      <c r="N36" s="23" t="n">
        <v>330</v>
      </c>
      <c r="O36" s="24" t="n">
        <v>0.0910348876216035</v>
      </c>
      <c r="P36" s="24" t="n">
        <f aca="false">IF(ISNUMBER(Stock_Seguridad!N36),Stock_Seguridad!N36,"")</f>
        <v>0.317757009345794</v>
      </c>
      <c r="Q36" s="24" t="n">
        <f aca="false">IF(AND(ISNUMBER(O36),ISNUMBER(P36)),P36-O36,"")</f>
        <v>0.226722121724191</v>
      </c>
      <c r="R36" s="23" t="n">
        <f aca="false">MAX(0,G36-N(L36))</f>
        <v>35466</v>
      </c>
      <c r="S36" s="23" t="n">
        <f aca="false">SUMIFS(Cadenas_vs_FCST!$D$17:$D$652,Cadenas_vs_FCST!$A$17:$A$652,A36)</f>
        <v>41532</v>
      </c>
      <c r="T36" s="23" t="n">
        <f aca="false">SUMIFS(Cadenas_vs_FCST!$E$17:$E$652,Cadenas_vs_FCST!$A$17:$A$652,A36)</f>
        <v>38984.5996632905</v>
      </c>
      <c r="U36" s="24" t="n">
        <f aca="false">IF(T36&gt;0,S36/T36-1,"")</f>
        <v>0.0653437603235976</v>
      </c>
      <c r="V36" s="3" t="str">
        <f aca="false">IF(OR(E36="BAJO SS",E36="BAJO SS (XLIB CUBRE)"),"SÍ","")</f>
        <v/>
      </c>
      <c r="W36" s="3" t="str">
        <f aca="false">IF(AND(V36="",N(L36)&gt;=Parametros!$B$17,G36&gt;=H36,R36&lt;H36),"SÍ","")</f>
        <v/>
      </c>
      <c r="X36" s="3" t="str">
        <f aca="false">IF(OR(E36="SOBRE MAX VENDIBLE",N(N36)&gt;=Parametros!$B$17,N(M36)&gt;=Parametros!$B$17),"SÍ","")</f>
        <v/>
      </c>
      <c r="Y36" s="3" t="str">
        <f aca="false">IF(AND(ISNUMBER(U36),MAX(S36,T36)&gt;=Parametros!$B$15,ABS(N(U36))&gt;Parametros!$B$14),"SÍ","")</f>
        <v/>
      </c>
      <c r="Z36" s="3" t="n">
        <f aca="false">COUNTIF(V36:Y36,"SÍ")</f>
        <v>0</v>
      </c>
      <c r="AA36" s="3" t="n">
        <f aca="false">(3*(V36="SÍ")+2*(W36="SÍ")+2*(X36="SÍ")+(Y36="SÍ"))*IF(LEFT(D36,1)="A",3,IF(OR(LEFT(D36,1)="B",D36="SIN HIST"),2,1))</f>
        <v>0</v>
      </c>
      <c r="AB36" s="3" t="str">
        <f aca="false">IF(AA36&gt;=9,"1-ALTA",IF(AA36&gt;=4,"2-MEDIA",IF(AA36&gt;0,"3-BAJA","")))</f>
        <v/>
      </c>
      <c r="AC36" s="3" t="str">
        <f aca="false">IF(E36="BAJO SS","Stock + XLIB bajo el SS: riesgo real de quiebre, adelantar producción. ","")&amp;IF(E36="BAJO SS (XLIB CUBRE)","Disponible bajo el SS; depende de liberar "&amp;TEXT(J36,"#,##0")&amp;" kg"&amp;IF(ISNUMBER(K36)," el "&amp;TEXT(K36,"dd-mm"),"")&amp;". ","")&amp;IF(W36="SÍ","Stock parece sano pero "&amp;TEXT(L36,"#,##0")&amp;" kg no pasan filtro "&amp;Stock_Seguridad!O36&amp;": sin ellos queda bajo el SS para esa cadena. ","")&amp;IF(E36="SOBRE MAX VENDIBLE","Sobrestock vs vida útil: frenar producción/activar venta. ","")&amp;IF(N(N36)&gt;=Parametros!$B$17,TEXT(N36,"#,##0")&amp;" kg ya no los acepta ninguna cadena: venta intermedia/liquidación. ","")&amp;IF(N(M36)&gt;=Parametros!$B$17,TEXT(M36,"#,##0")&amp;" kg a punto de salir del filtro: despachar primero (FEFO). ","")&amp;IF(Y36="SÍ","Pedidos "&amp;IF(N(U36)&gt;0,"sobre","bajo")&amp;" FCST "&amp;TEXT(ABS(N(U36)),"0%")&amp;": revisar forecast con KAM.","")</f>
        <v/>
      </c>
    </row>
    <row r="37" customFormat="false" ht="15" hidden="false" customHeight="false" outlineLevel="0" collapsed="false">
      <c r="A37" s="18" t="n">
        <f aca="false">Stock_Seguridad!A37</f>
        <v>30000010</v>
      </c>
      <c r="B37" s="18" t="str">
        <f aca="false">Stock_Seguridad!B37</f>
        <v>LECHE MOMENTS CAPUCHINO 12X1LT</v>
      </c>
      <c r="C37" s="18" t="str">
        <f aca="false">Stock_Seguridad!C37</f>
        <v>LECHES LIQUIDAS</v>
      </c>
      <c r="D37" s="18" t="str">
        <f aca="false">Stock_Seguridad!F37</f>
        <v>BX</v>
      </c>
      <c r="E37" s="19" t="str">
        <f aca="false">Stock_Seguridad!X37</f>
        <v>OK</v>
      </c>
      <c r="F37" s="20" t="n">
        <f aca="false">Stock_Seguridad!W37</f>
        <v>4.69918619950295</v>
      </c>
      <c r="G37" s="21" t="n">
        <f aca="false">Stock_Seguridad!T37</f>
        <v>25092</v>
      </c>
      <c r="H37" s="21" t="n">
        <f aca="false">Stock_Seguridad!R37</f>
        <v>5046.00941208638</v>
      </c>
      <c r="I37" s="21" t="n">
        <f aca="false">Stock_Seguridad!S37</f>
        <v>15306.5094120864</v>
      </c>
      <c r="J37" s="21" t="n">
        <f aca="false">Stock_Seguridad!U37</f>
        <v>23124</v>
      </c>
      <c r="K37" s="22" t="n">
        <v>46318</v>
      </c>
      <c r="L37" s="23" t="n">
        <v>132</v>
      </c>
      <c r="M37" s="23" t="n">
        <v>9156</v>
      </c>
      <c r="N37" s="23" t="n">
        <v>120</v>
      </c>
      <c r="O37" s="24" t="n">
        <v>0.106621015936255</v>
      </c>
      <c r="P37" s="24" t="n">
        <f aca="false">IF(ISNUMBER(Stock_Seguridad!N37),Stock_Seguridad!N37,"")</f>
        <v>0.240641711229947</v>
      </c>
      <c r="Q37" s="24" t="n">
        <f aca="false">IF(AND(ISNUMBER(O37),ISNUMBER(P37)),P37-O37,"")</f>
        <v>0.134020695293691</v>
      </c>
      <c r="R37" s="23" t="n">
        <f aca="false">MAX(0,G37-N(L37))</f>
        <v>24960</v>
      </c>
      <c r="S37" s="23" t="n">
        <f aca="false">SUMIFS(Cadenas_vs_FCST!$D$17:$D$652,Cadenas_vs_FCST!$A$17:$A$652,A37)</f>
        <v>25560</v>
      </c>
      <c r="T37" s="23" t="n">
        <f aca="false">SUMIFS(Cadenas_vs_FCST!$E$17:$E$652,Cadenas_vs_FCST!$A$17:$A$652,A37)</f>
        <v>31368.7374867612</v>
      </c>
      <c r="U37" s="24" t="n">
        <f aca="false">IF(T37&gt;0,S37/T37-1,"")</f>
        <v>-0.185176004906564</v>
      </c>
      <c r="V37" s="3" t="str">
        <f aca="false">IF(OR(E37="BAJO SS",E37="BAJO SS (XLIB CUBRE)"),"SÍ","")</f>
        <v/>
      </c>
      <c r="W37" s="3" t="str">
        <f aca="false">IF(AND(V37="",N(L37)&gt;=Parametros!$B$17,G37&gt;=H37,R37&lt;H37),"SÍ","")</f>
        <v/>
      </c>
      <c r="X37" s="3" t="str">
        <f aca="false">IF(OR(E37="SOBRE MAX VENDIBLE",N(N37)&gt;=Parametros!$B$17,N(M37)&gt;=Parametros!$B$17),"SÍ","")</f>
        <v>SÍ</v>
      </c>
      <c r="Y37" s="3" t="str">
        <f aca="false">IF(AND(ISNUMBER(U37),MAX(S37,T37)&gt;=Parametros!$B$15,ABS(N(U37))&gt;Parametros!$B$14),"SÍ","")</f>
        <v/>
      </c>
      <c r="Z37" s="3" t="n">
        <f aca="false">COUNTIF(V37:Y37,"SÍ")</f>
        <v>1</v>
      </c>
      <c r="AA37" s="3" t="n">
        <f aca="false">(3*(V37="SÍ")+2*(W37="SÍ")+2*(X37="SÍ")+(Y37="SÍ"))*IF(LEFT(D37,1)="A",3,IF(OR(LEFT(D37,1)="B",D37="SIN HIST"),2,1))</f>
        <v>4</v>
      </c>
      <c r="AB37" s="3" t="str">
        <f aca="false">IF(AA37&gt;=9,"1-ALTA",IF(AA37&gt;=4,"2-MEDIA",IF(AA37&gt;0,"3-BAJA","")))</f>
        <v>2-MEDIA</v>
      </c>
      <c r="AC37" s="3" t="str">
        <f aca="false">IF(E37="BAJO SS","Stock + XLIB bajo el SS: riesgo real de quiebre, adelantar producción. ","")&amp;IF(E37="BAJO SS (XLIB CUBRE)","Disponible bajo el SS; depende de liberar "&amp;TEXT(J37,"#,##0")&amp;" kg"&amp;IF(ISNUMBER(K37)," el "&amp;TEXT(K37,"dd-mm"),"")&amp;". ","")&amp;IF(W37="SÍ","Stock parece sano pero "&amp;TEXT(L37,"#,##0")&amp;" kg no pasan filtro "&amp;Stock_Seguridad!O37&amp;": sin ellos queda bajo el SS para esa cadena. ","")&amp;IF(E37="SOBRE MAX VENDIBLE","Sobrestock vs vida útil: frenar producción/activar venta. ","")&amp;IF(N(N37)&gt;=Parametros!$B$17,TEXT(N37,"#,##0")&amp;" kg ya no los acepta ninguna cadena: venta intermedia/liquidación. ","")&amp;IF(N(M37)&gt;=Parametros!$B$17,TEXT(M37,"#,##0")&amp;" kg a punto de salir del filtro: despachar primero (FEFO). ","")&amp;IF(Y37="SÍ","Pedidos "&amp;IF(N(U37)&gt;0,"sobre","bajo")&amp;" FCST "&amp;TEXT(ABS(N(U37)),"0%")&amp;": revisar forecast con KAM.","")</f>
        <v>9,156 kg a punto de salir del filtro: despachar primero (FEFO). </v>
      </c>
    </row>
    <row r="38" customFormat="false" ht="15" hidden="false" customHeight="false" outlineLevel="0" collapsed="false">
      <c r="A38" s="18" t="n">
        <f aca="false">Stock_Seguridad!A38</f>
        <v>30001977</v>
      </c>
      <c r="B38" s="18" t="str">
        <f aca="false">Stock_Seguridad!B38</f>
        <v>BEBIDA LONCOLECHE VEGETAL ALMENDRA 6X1LT</v>
      </c>
      <c r="C38" s="18" t="str">
        <f aca="false">Stock_Seguridad!C38</f>
        <v>LECHES LIQUIDAS</v>
      </c>
      <c r="D38" s="18" t="str">
        <f aca="false">Stock_Seguridad!F38</f>
        <v>BX</v>
      </c>
      <c r="E38" s="19" t="str">
        <f aca="false">Stock_Seguridad!X38</f>
        <v>OK</v>
      </c>
      <c r="F38" s="20" t="n">
        <f aca="false">Stock_Seguridad!W38</f>
        <v>5.90850534767369</v>
      </c>
      <c r="G38" s="21" t="n">
        <f aca="false">Stock_Seguridad!T38</f>
        <v>59166</v>
      </c>
      <c r="H38" s="21" t="n">
        <f aca="false">Stock_Seguridad!R38</f>
        <v>9465.85237400389</v>
      </c>
      <c r="I38" s="21" t="n">
        <f aca="false">Stock_Seguridad!S38</f>
        <v>19479.5523740039</v>
      </c>
      <c r="J38" s="21" t="n">
        <f aca="false">Stock_Seguridad!U38</f>
        <v>0</v>
      </c>
      <c r="K38" s="22"/>
      <c r="L38" s="23" t="n">
        <v>0</v>
      </c>
      <c r="M38" s="23" t="n">
        <v>0</v>
      </c>
      <c r="N38" s="23" t="n">
        <v>0</v>
      </c>
      <c r="O38" s="24" t="n">
        <v>0.283286308738455</v>
      </c>
      <c r="P38" s="24" t="n">
        <f aca="false">IF(ISNUMBER(Stock_Seguridad!N38),Stock_Seguridad!N38,"")</f>
        <v>0.498630136986301</v>
      </c>
      <c r="Q38" s="24" t="n">
        <f aca="false">IF(AND(ISNUMBER(O38),ISNUMBER(P38)),P38-O38,"")</f>
        <v>0.215343828247846</v>
      </c>
      <c r="R38" s="23" t="n">
        <f aca="false">MAX(0,G38-N(L38))</f>
        <v>59166</v>
      </c>
      <c r="S38" s="23" t="n">
        <f aca="false">SUMIFS(Cadenas_vs_FCST!$D$17:$D$652,Cadenas_vs_FCST!$A$17:$A$652,A38)</f>
        <v>44766</v>
      </c>
      <c r="T38" s="23" t="n">
        <f aca="false">SUMIFS(Cadenas_vs_FCST!$E$17:$E$652,Cadenas_vs_FCST!$A$17:$A$652,A38)</f>
        <v>41863.8953411194</v>
      </c>
      <c r="U38" s="24" t="n">
        <f aca="false">IF(T38&gt;0,S38/T38-1,"")</f>
        <v>0.0693223751691861</v>
      </c>
      <c r="V38" s="3" t="str">
        <f aca="false">IF(OR(E38="BAJO SS",E38="BAJO SS (XLIB CUBRE)"),"SÍ","")</f>
        <v/>
      </c>
      <c r="W38" s="3" t="str">
        <f aca="false">IF(AND(V38="",N(L38)&gt;=Parametros!$B$17,G38&gt;=H38,R38&lt;H38),"SÍ","")</f>
        <v/>
      </c>
      <c r="X38" s="3" t="str">
        <f aca="false">IF(OR(E38="SOBRE MAX VENDIBLE",N(N38)&gt;=Parametros!$B$17,N(M38)&gt;=Parametros!$B$17),"SÍ","")</f>
        <v/>
      </c>
      <c r="Y38" s="3" t="str">
        <f aca="false">IF(AND(ISNUMBER(U38),MAX(S38,T38)&gt;=Parametros!$B$15,ABS(N(U38))&gt;Parametros!$B$14),"SÍ","")</f>
        <v/>
      </c>
      <c r="Z38" s="3" t="n">
        <f aca="false">COUNTIF(V38:Y38,"SÍ")</f>
        <v>0</v>
      </c>
      <c r="AA38" s="3" t="n">
        <f aca="false">(3*(V38="SÍ")+2*(W38="SÍ")+2*(X38="SÍ")+(Y38="SÍ"))*IF(LEFT(D38,1)="A",3,IF(OR(LEFT(D38,1)="B",D38="SIN HIST"),2,1))</f>
        <v>0</v>
      </c>
      <c r="AB38" s="3" t="str">
        <f aca="false">IF(AA38&gt;=9,"1-ALTA",IF(AA38&gt;=4,"2-MEDIA",IF(AA38&gt;0,"3-BAJA","")))</f>
        <v/>
      </c>
      <c r="AC38" s="3" t="str">
        <f aca="false">IF(E38="BAJO SS","Stock + XLIB bajo el SS: riesgo real de quiebre, adelantar producción. ","")&amp;IF(E38="BAJO SS (XLIB CUBRE)","Disponible bajo el SS; depende de liberar "&amp;TEXT(J38,"#,##0")&amp;" kg"&amp;IF(ISNUMBER(K38)," el "&amp;TEXT(K38,"dd-mm"),"")&amp;". ","")&amp;IF(W38="SÍ","Stock parece sano pero "&amp;TEXT(L38,"#,##0")&amp;" kg no pasan filtro "&amp;Stock_Seguridad!O38&amp;": sin ellos queda bajo el SS para esa cadena. ","")&amp;IF(E38="SOBRE MAX VENDIBLE","Sobrestock vs vida útil: frenar producción/activar venta. ","")&amp;IF(N(N38)&gt;=Parametros!$B$17,TEXT(N38,"#,##0")&amp;" kg ya no los acepta ninguna cadena: venta intermedia/liquidación. ","")&amp;IF(N(M38)&gt;=Parametros!$B$17,TEXT(M38,"#,##0")&amp;" kg a punto de salir del filtro: despachar primero (FEFO). ","")&amp;IF(Y38="SÍ","Pedidos "&amp;IF(N(U38)&gt;0,"sobre","bajo")&amp;" FCST "&amp;TEXT(ABS(N(U38)),"0%")&amp;": revisar forecast con KAM.","")</f>
        <v/>
      </c>
    </row>
    <row r="39" customFormat="false" ht="15" hidden="false" customHeight="false" outlineLevel="0" collapsed="false">
      <c r="A39" s="18" t="n">
        <f aca="false">Stock_Seguridad!A39</f>
        <v>30000318</v>
      </c>
      <c r="B39" s="18" t="str">
        <f aca="false">Stock_Seguridad!B39</f>
        <v>YOGU YOGU CHIRIMOYA 30X200GR</v>
      </c>
      <c r="C39" s="18" t="str">
        <f aca="false">Stock_Seguridad!C39</f>
        <v>LECHES LIQUIDAS</v>
      </c>
      <c r="D39" s="18" t="str">
        <f aca="false">Stock_Seguridad!F39</f>
        <v>BX</v>
      </c>
      <c r="E39" s="19" t="str">
        <f aca="false">Stock_Seguridad!X39</f>
        <v>OK</v>
      </c>
      <c r="F39" s="20" t="n">
        <f aca="false">Stock_Seguridad!W39</f>
        <v>2.64382828390965</v>
      </c>
      <c r="G39" s="21" t="n">
        <f aca="false">Stock_Seguridad!T39</f>
        <v>23832</v>
      </c>
      <c r="H39" s="21" t="n">
        <f aca="false">Stock_Seguridad!R39</f>
        <v>4541.47436608517</v>
      </c>
      <c r="I39" s="21" t="n">
        <f aca="false">Stock_Seguridad!S39</f>
        <v>13882.4743660852</v>
      </c>
      <c r="J39" s="21" t="n">
        <f aca="false">Stock_Seguridad!U39</f>
        <v>864</v>
      </c>
      <c r="K39" s="22" t="n">
        <v>46320</v>
      </c>
      <c r="L39" s="23" t="n">
        <v>258</v>
      </c>
      <c r="M39" s="23" t="n">
        <v>3138</v>
      </c>
      <c r="N39" s="23" t="n">
        <v>0</v>
      </c>
      <c r="O39" s="24" t="n">
        <v>0.091526224210788</v>
      </c>
      <c r="P39" s="24" t="n">
        <f aca="false">IF(ISNUMBER(Stock_Seguridad!N39),Stock_Seguridad!N39,"")</f>
        <v>0.220408163265306</v>
      </c>
      <c r="Q39" s="24" t="n">
        <f aca="false">IF(AND(ISNUMBER(O39),ISNUMBER(P39)),P39-O39,"")</f>
        <v>0.128881939054518</v>
      </c>
      <c r="R39" s="23" t="n">
        <f aca="false">MAX(0,G39-N(L39))</f>
        <v>23574</v>
      </c>
      <c r="S39" s="23" t="n">
        <f aca="false">SUMIFS(Cadenas_vs_FCST!$D$17:$D$652,Cadenas_vs_FCST!$A$17:$A$652,A39)</f>
        <v>39282</v>
      </c>
      <c r="T39" s="23" t="n">
        <f aca="false">SUMIFS(Cadenas_vs_FCST!$E$17:$E$652,Cadenas_vs_FCST!$A$17:$A$652,A39)</f>
        <v>39013.7841885598</v>
      </c>
      <c r="U39" s="24" t="n">
        <f aca="false">IF(T39&gt;0,S39/T39-1,"")</f>
        <v>0.00687489862926194</v>
      </c>
      <c r="V39" s="3" t="str">
        <f aca="false">IF(OR(E39="BAJO SS",E39="BAJO SS (XLIB CUBRE)"),"SÍ","")</f>
        <v/>
      </c>
      <c r="W39" s="3" t="str">
        <f aca="false">IF(AND(V39="",N(L39)&gt;=Parametros!$B$17,G39&gt;=H39,R39&lt;H39),"SÍ","")</f>
        <v/>
      </c>
      <c r="X39" s="3" t="str">
        <f aca="false">IF(OR(E39="SOBRE MAX VENDIBLE",N(N39)&gt;=Parametros!$B$17,N(M39)&gt;=Parametros!$B$17),"SÍ","")</f>
        <v>SÍ</v>
      </c>
      <c r="Y39" s="3" t="str">
        <f aca="false">IF(AND(ISNUMBER(U39),MAX(S39,T39)&gt;=Parametros!$B$15,ABS(N(U39))&gt;Parametros!$B$14),"SÍ","")</f>
        <v/>
      </c>
      <c r="Z39" s="3" t="n">
        <f aca="false">COUNTIF(V39:Y39,"SÍ")</f>
        <v>1</v>
      </c>
      <c r="AA39" s="3" t="n">
        <f aca="false">(3*(V39="SÍ")+2*(W39="SÍ")+2*(X39="SÍ")+(Y39="SÍ"))*IF(LEFT(D39,1)="A",3,IF(OR(LEFT(D39,1)="B",D39="SIN HIST"),2,1))</f>
        <v>4</v>
      </c>
      <c r="AB39" s="3" t="str">
        <f aca="false">IF(AA39&gt;=9,"1-ALTA",IF(AA39&gt;=4,"2-MEDIA",IF(AA39&gt;0,"3-BAJA","")))</f>
        <v>2-MEDIA</v>
      </c>
      <c r="AC39" s="3" t="str">
        <f aca="false">IF(E39="BAJO SS","Stock + XLIB bajo el SS: riesgo real de quiebre, adelantar producción. ","")&amp;IF(E39="BAJO SS (XLIB CUBRE)","Disponible bajo el SS; depende de liberar "&amp;TEXT(J39,"#,##0")&amp;" kg"&amp;IF(ISNUMBER(K39)," el "&amp;TEXT(K39,"dd-mm"),"")&amp;". ","")&amp;IF(W39="SÍ","Stock parece sano pero "&amp;TEXT(L39,"#,##0")&amp;" kg no pasan filtro "&amp;Stock_Seguridad!O39&amp;": sin ellos queda bajo el SS para esa cadena. ","")&amp;IF(E39="SOBRE MAX VENDIBLE","Sobrestock vs vida útil: frenar producción/activar venta. ","")&amp;IF(N(N39)&gt;=Parametros!$B$17,TEXT(N39,"#,##0")&amp;" kg ya no los acepta ninguna cadena: venta intermedia/liquidación. ","")&amp;IF(N(M39)&gt;=Parametros!$B$17,TEXT(M39,"#,##0")&amp;" kg a punto de salir del filtro: despachar primero (FEFO). ","")&amp;IF(Y39="SÍ","Pedidos "&amp;IF(N(U39)&gt;0,"sobre","bajo")&amp;" FCST "&amp;TEXT(ABS(N(U39)),"0%")&amp;": revisar forecast con KAM.","")</f>
        <v>3,138 kg a punto de salir del filtro: despachar primero (FEFO). </v>
      </c>
    </row>
    <row r="40" customFormat="false" ht="15" hidden="false" customHeight="false" outlineLevel="0" collapsed="false">
      <c r="A40" s="18" t="n">
        <f aca="false">Stock_Seguridad!A40</f>
        <v>30002078</v>
      </c>
      <c r="B40" s="18" t="str">
        <f aca="false">Stock_Seguridad!B40</f>
        <v>LECHE PLATANO LONCOLECHE 12X1LT</v>
      </c>
      <c r="C40" s="18" t="str">
        <f aca="false">Stock_Seguridad!C40</f>
        <v>LECHES LIQUIDAS</v>
      </c>
      <c r="D40" s="18" t="str">
        <f aca="false">Stock_Seguridad!F40</f>
        <v>BX</v>
      </c>
      <c r="E40" s="19" t="str">
        <f aca="false">Stock_Seguridad!X40</f>
        <v>BAJO P.REORDEN</v>
      </c>
      <c r="F40" s="20" t="n">
        <f aca="false">Stock_Seguridad!W40</f>
        <v>1.3088197480072</v>
      </c>
      <c r="G40" s="21" t="n">
        <f aca="false">Stock_Seguridad!T40</f>
        <v>12216</v>
      </c>
      <c r="H40" s="21" t="n">
        <f aca="false">Stock_Seguridad!R40</f>
        <v>5513.91720171578</v>
      </c>
      <c r="I40" s="21" t="n">
        <f aca="false">Stock_Seguridad!S40</f>
        <v>14847.5172017158</v>
      </c>
      <c r="J40" s="21" t="n">
        <f aca="false">Stock_Seguridad!U40</f>
        <v>0</v>
      </c>
      <c r="K40" s="22"/>
      <c r="L40" s="23" t="n">
        <v>120</v>
      </c>
      <c r="M40" s="23" t="n">
        <v>12096</v>
      </c>
      <c r="N40" s="23" t="n">
        <v>0</v>
      </c>
      <c r="O40" s="24" t="n">
        <v>0.220687622789784</v>
      </c>
      <c r="P40" s="24" t="n">
        <f aca="false">IF(ISNUMBER(Stock_Seguridad!N40),Stock_Seguridad!N40,"")</f>
        <v>0.238317757009346</v>
      </c>
      <c r="Q40" s="24" t="n">
        <f aca="false">IF(AND(ISNUMBER(O40),ISNUMBER(P40)),P40-O40,"")</f>
        <v>0.0176301342195619</v>
      </c>
      <c r="R40" s="23" t="n">
        <f aca="false">MAX(0,G40-N(L40))</f>
        <v>12096</v>
      </c>
      <c r="S40" s="23" t="n">
        <f aca="false">SUMIFS(Cadenas_vs_FCST!$D$17:$D$652,Cadenas_vs_FCST!$A$17:$A$652,A40)</f>
        <v>29100</v>
      </c>
      <c r="T40" s="23" t="n">
        <f aca="false">SUMIFS(Cadenas_vs_FCST!$E$17:$E$652,Cadenas_vs_FCST!$A$17:$A$652,A40)</f>
        <v>27697.8529372825</v>
      </c>
      <c r="U40" s="24" t="n">
        <f aca="false">IF(T40&gt;0,S40/T40-1,"")</f>
        <v>0.0506229513851657</v>
      </c>
      <c r="V40" s="3" t="str">
        <f aca="false">IF(OR(E40="BAJO SS",E40="BAJO SS (XLIB CUBRE)"),"SÍ","")</f>
        <v/>
      </c>
      <c r="W40" s="3" t="str">
        <f aca="false">IF(AND(V40="",N(L40)&gt;=Parametros!$B$17,G40&gt;=H40,R40&lt;H40),"SÍ","")</f>
        <v/>
      </c>
      <c r="X40" s="3" t="str">
        <f aca="false">IF(OR(E40="SOBRE MAX VENDIBLE",N(N40)&gt;=Parametros!$B$17,N(M40)&gt;=Parametros!$B$17),"SÍ","")</f>
        <v>SÍ</v>
      </c>
      <c r="Y40" s="3" t="str">
        <f aca="false">IF(AND(ISNUMBER(U40),MAX(S40,T40)&gt;=Parametros!$B$15,ABS(N(U40))&gt;Parametros!$B$14),"SÍ","")</f>
        <v/>
      </c>
      <c r="Z40" s="3" t="n">
        <f aca="false">COUNTIF(V40:Y40,"SÍ")</f>
        <v>1</v>
      </c>
      <c r="AA40" s="3" t="n">
        <f aca="false">(3*(V40="SÍ")+2*(W40="SÍ")+2*(X40="SÍ")+(Y40="SÍ"))*IF(LEFT(D40,1)="A",3,IF(OR(LEFT(D40,1)="B",D40="SIN HIST"),2,1))</f>
        <v>4</v>
      </c>
      <c r="AB40" s="3" t="str">
        <f aca="false">IF(AA40&gt;=9,"1-ALTA",IF(AA40&gt;=4,"2-MEDIA",IF(AA40&gt;0,"3-BAJA","")))</f>
        <v>2-MEDIA</v>
      </c>
      <c r="AC40" s="3" t="str">
        <f aca="false">IF(E40="BAJO SS","Stock + XLIB bajo el SS: riesgo real de quiebre, adelantar producción. ","")&amp;IF(E40="BAJO SS (XLIB CUBRE)","Disponible bajo el SS; depende de liberar "&amp;TEXT(J40,"#,##0")&amp;" kg"&amp;IF(ISNUMBER(K40)," el "&amp;TEXT(K40,"dd-mm"),"")&amp;". ","")&amp;IF(W40="SÍ","Stock parece sano pero "&amp;TEXT(L40,"#,##0")&amp;" kg no pasan filtro "&amp;Stock_Seguridad!O40&amp;": sin ellos queda bajo el SS para esa cadena. ","")&amp;IF(E40="SOBRE MAX VENDIBLE","Sobrestock vs vida útil: frenar producción/activar venta. ","")&amp;IF(N(N40)&gt;=Parametros!$B$17,TEXT(N40,"#,##0")&amp;" kg ya no los acepta ninguna cadena: venta intermedia/liquidación. ","")&amp;IF(N(M40)&gt;=Parametros!$B$17,TEXT(M40,"#,##0")&amp;" kg a punto de salir del filtro: despachar primero (FEFO). ","")&amp;IF(Y40="SÍ","Pedidos "&amp;IF(N(U40)&gt;0,"sobre","bajo")&amp;" FCST "&amp;TEXT(ABS(N(U40)),"0%")&amp;": revisar forecast con KAM.","")</f>
        <v>12,096 kg a punto de salir del filtro: despachar primero (FEFO). </v>
      </c>
    </row>
    <row r="41" customFormat="false" ht="15" hidden="false" customHeight="false" outlineLevel="0" collapsed="false">
      <c r="A41" s="18" t="n">
        <f aca="false">Stock_Seguridad!A41</f>
        <v>30000347</v>
      </c>
      <c r="B41" s="18" t="str">
        <f aca="false">Stock_Seguridad!B41</f>
        <v>CREMA LISTA LONCO 30X200ML</v>
      </c>
      <c r="C41" s="18" t="str">
        <f aca="false">Stock_Seguridad!C41</f>
        <v>CREMA</v>
      </c>
      <c r="D41" s="18" t="str">
        <f aca="false">Stock_Seguridad!F41</f>
        <v>BX</v>
      </c>
      <c r="E41" s="19" t="str">
        <f aca="false">Stock_Seguridad!X41</f>
        <v>OK</v>
      </c>
      <c r="F41" s="20" t="n">
        <f aca="false">Stock_Seguridad!W41</f>
        <v>4.58390177353342</v>
      </c>
      <c r="G41" s="21" t="n">
        <f aca="false">Stock_Seguridad!T41</f>
        <v>42000</v>
      </c>
      <c r="H41" s="21" t="n">
        <f aca="false">Stock_Seguridad!R41</f>
        <v>4967.0068964879</v>
      </c>
      <c r="I41" s="21" t="n">
        <f aca="false">Stock_Seguridad!S41</f>
        <v>14129.5068964879</v>
      </c>
      <c r="J41" s="21" t="n">
        <f aca="false">Stock_Seguridad!U41</f>
        <v>0</v>
      </c>
      <c r="K41" s="22"/>
      <c r="L41" s="23" t="n">
        <v>462</v>
      </c>
      <c r="M41" s="23" t="n">
        <v>8526</v>
      </c>
      <c r="N41" s="23" t="n">
        <v>0</v>
      </c>
      <c r="O41" s="24" t="n">
        <v>0.122589362310552</v>
      </c>
      <c r="P41" s="24" t="n">
        <f aca="false">IF(ISNUMBER(Stock_Seguridad!N41),Stock_Seguridad!N41,"")</f>
        <v>0.239130434782609</v>
      </c>
      <c r="Q41" s="24" t="n">
        <f aca="false">IF(AND(ISNUMBER(O41),ISNUMBER(P41)),P41-O41,"")</f>
        <v>0.116541072472057</v>
      </c>
      <c r="R41" s="23" t="n">
        <f aca="false">MAX(0,G41-N(L41))</f>
        <v>41538</v>
      </c>
      <c r="S41" s="23" t="n">
        <f aca="false">SUMIFS(Cadenas_vs_FCST!$D$17:$D$652,Cadenas_vs_FCST!$A$17:$A$652,A41)</f>
        <v>29688</v>
      </c>
      <c r="T41" s="23" t="n">
        <f aca="false">SUMIFS(Cadenas_vs_FCST!$E$17:$E$652,Cadenas_vs_FCST!$A$17:$A$652,A41)</f>
        <v>34209.2440421152</v>
      </c>
      <c r="U41" s="24" t="n">
        <f aca="false">IF(T41&gt;0,S41/T41-1,"")</f>
        <v>-0.132164394996542</v>
      </c>
      <c r="V41" s="3" t="str">
        <f aca="false">IF(OR(E41="BAJO SS",E41="BAJO SS (XLIB CUBRE)"),"SÍ","")</f>
        <v/>
      </c>
      <c r="W41" s="3" t="str">
        <f aca="false">IF(AND(V41="",N(L41)&gt;=Parametros!$B$17,G41&gt;=H41,R41&lt;H41),"SÍ","")</f>
        <v/>
      </c>
      <c r="X41" s="3" t="str">
        <f aca="false">IF(OR(E41="SOBRE MAX VENDIBLE",N(N41)&gt;=Parametros!$B$17,N(M41)&gt;=Parametros!$B$17),"SÍ","")</f>
        <v>SÍ</v>
      </c>
      <c r="Y41" s="3" t="str">
        <f aca="false">IF(AND(ISNUMBER(U41),MAX(S41,T41)&gt;=Parametros!$B$15,ABS(N(U41))&gt;Parametros!$B$14),"SÍ","")</f>
        <v/>
      </c>
      <c r="Z41" s="3" t="n">
        <f aca="false">COUNTIF(V41:Y41,"SÍ")</f>
        <v>1</v>
      </c>
      <c r="AA41" s="3" t="n">
        <f aca="false">(3*(V41="SÍ")+2*(W41="SÍ")+2*(X41="SÍ")+(Y41="SÍ"))*IF(LEFT(D41,1)="A",3,IF(OR(LEFT(D41,1)="B",D41="SIN HIST"),2,1))</f>
        <v>4</v>
      </c>
      <c r="AB41" s="3" t="str">
        <f aca="false">IF(AA41&gt;=9,"1-ALTA",IF(AA41&gt;=4,"2-MEDIA",IF(AA41&gt;0,"3-BAJA","")))</f>
        <v>2-MEDIA</v>
      </c>
      <c r="AC41" s="3" t="str">
        <f aca="false">IF(E41="BAJO SS","Stock + XLIB bajo el SS: riesgo real de quiebre, adelantar producción. ","")&amp;IF(E41="BAJO SS (XLIB CUBRE)","Disponible bajo el SS; depende de liberar "&amp;TEXT(J41,"#,##0")&amp;" kg"&amp;IF(ISNUMBER(K41)," el "&amp;TEXT(K41,"dd-mm"),"")&amp;". ","")&amp;IF(W41="SÍ","Stock parece sano pero "&amp;TEXT(L41,"#,##0")&amp;" kg no pasan filtro "&amp;Stock_Seguridad!O41&amp;": sin ellos queda bajo el SS para esa cadena. ","")&amp;IF(E41="SOBRE MAX VENDIBLE","Sobrestock vs vida útil: frenar producción/activar venta. ","")&amp;IF(N(N41)&gt;=Parametros!$B$17,TEXT(N41,"#,##0")&amp;" kg ya no los acepta ninguna cadena: venta intermedia/liquidación. ","")&amp;IF(N(M41)&gt;=Parametros!$B$17,TEXT(M41,"#,##0")&amp;" kg a punto de salir del filtro: despachar primero (FEFO). ","")&amp;IF(Y41="SÍ","Pedidos "&amp;IF(N(U41)&gt;0,"sobre","bajo")&amp;" FCST "&amp;TEXT(ABS(N(U41)),"0%")&amp;": revisar forecast con KAM.","")</f>
        <v>8,526 kg a punto de salir del filtro: despachar primero (FEFO). </v>
      </c>
    </row>
    <row r="42" customFormat="false" ht="15" hidden="false" customHeight="false" outlineLevel="0" collapsed="false">
      <c r="A42" s="18" t="n">
        <f aca="false">Stock_Seguridad!A42</f>
        <v>30001404</v>
      </c>
      <c r="B42" s="18" t="str">
        <f aca="false">Stock_Seguridad!B42</f>
        <v>LECHE BREAK CAPPUCCINO LONCO 18X250ML</v>
      </c>
      <c r="C42" s="18" t="str">
        <f aca="false">Stock_Seguridad!C42</f>
        <v>LECHES LIQUIDAS</v>
      </c>
      <c r="D42" s="18" t="str">
        <f aca="false">Stock_Seguridad!F42</f>
        <v>BX</v>
      </c>
      <c r="E42" s="19" t="str">
        <f aca="false">Stock_Seguridad!X42</f>
        <v>OK</v>
      </c>
      <c r="F42" s="20" t="n">
        <f aca="false">Stock_Seguridad!W42</f>
        <v>3.63850616388687</v>
      </c>
      <c r="G42" s="21" t="n">
        <f aca="false">Stock_Seguridad!T42</f>
        <v>33115.5</v>
      </c>
      <c r="H42" s="21" t="n">
        <f aca="false">Stock_Seguridad!R42</f>
        <v>2645.14822415293</v>
      </c>
      <c r="I42" s="21" t="n">
        <f aca="false">Stock_Seguridad!S42</f>
        <v>11746.5482241529</v>
      </c>
      <c r="J42" s="21" t="n">
        <f aca="false">Stock_Seguridad!U42</f>
        <v>0</v>
      </c>
      <c r="K42" s="22"/>
      <c r="L42" s="23" t="n">
        <v>175.5</v>
      </c>
      <c r="M42" s="23" t="n">
        <v>4.5</v>
      </c>
      <c r="N42" s="23" t="n">
        <v>0</v>
      </c>
      <c r="O42" s="24" t="n">
        <v>0.0606500747994016</v>
      </c>
      <c r="P42" s="24" t="n">
        <f aca="false">IF(ISNUMBER(Stock_Seguridad!N42),Stock_Seguridad!N42,"")</f>
        <v>0.224</v>
      </c>
      <c r="Q42" s="24" t="n">
        <f aca="false">IF(AND(ISNUMBER(O42),ISNUMBER(P42)),P42-O42,"")</f>
        <v>0.163349925200598</v>
      </c>
      <c r="R42" s="23" t="n">
        <f aca="false">MAX(0,G42-N(L42))</f>
        <v>32940</v>
      </c>
      <c r="S42" s="23" t="n">
        <f aca="false">SUMIFS(Cadenas_vs_FCST!$D$17:$D$652,Cadenas_vs_FCST!$A$17:$A$652,A42)</f>
        <v>38754</v>
      </c>
      <c r="T42" s="23" t="n">
        <f aca="false">SUMIFS(Cadenas_vs_FCST!$E$17:$E$652,Cadenas_vs_FCST!$A$17:$A$652,A42)</f>
        <v>33603.7881404969</v>
      </c>
      <c r="U42" s="24" t="n">
        <f aca="false">IF(T42&gt;0,S42/T42-1,"")</f>
        <v>0.153262835665137</v>
      </c>
      <c r="V42" s="3" t="str">
        <f aca="false">IF(OR(E42="BAJO SS",E42="BAJO SS (XLIB CUBRE)"),"SÍ","")</f>
        <v/>
      </c>
      <c r="W42" s="3" t="str">
        <f aca="false">IF(AND(V42="",N(L42)&gt;=Parametros!$B$17,G42&gt;=H42,R42&lt;H42),"SÍ","")</f>
        <v/>
      </c>
      <c r="X42" s="3" t="str">
        <f aca="false">IF(OR(E42="SOBRE MAX VENDIBLE",N(N42)&gt;=Parametros!$B$17,N(M42)&gt;=Parametros!$B$17),"SÍ","")</f>
        <v/>
      </c>
      <c r="Y42" s="3" t="str">
        <f aca="false">IF(AND(ISNUMBER(U42),MAX(S42,T42)&gt;=Parametros!$B$15,ABS(N(U42))&gt;Parametros!$B$14),"SÍ","")</f>
        <v/>
      </c>
      <c r="Z42" s="3" t="n">
        <f aca="false">COUNTIF(V42:Y42,"SÍ")</f>
        <v>0</v>
      </c>
      <c r="AA42" s="3" t="n">
        <f aca="false">(3*(V42="SÍ")+2*(W42="SÍ")+2*(X42="SÍ")+(Y42="SÍ"))*IF(LEFT(D42,1)="A",3,IF(OR(LEFT(D42,1)="B",D42="SIN HIST"),2,1))</f>
        <v>0</v>
      </c>
      <c r="AB42" s="3" t="str">
        <f aca="false">IF(AA42&gt;=9,"1-ALTA",IF(AA42&gt;=4,"2-MEDIA",IF(AA42&gt;0,"3-BAJA","")))</f>
        <v/>
      </c>
      <c r="AC42" s="3" t="str">
        <f aca="false">IF(E42="BAJO SS","Stock + XLIB bajo el SS: riesgo real de quiebre, adelantar producción. ","")&amp;IF(E42="BAJO SS (XLIB CUBRE)","Disponible bajo el SS; depende de liberar "&amp;TEXT(J42,"#,##0")&amp;" kg"&amp;IF(ISNUMBER(K42)," el "&amp;TEXT(K42,"dd-mm"),"")&amp;". ","")&amp;IF(W42="SÍ","Stock parece sano pero "&amp;TEXT(L42,"#,##0")&amp;" kg no pasan filtro "&amp;Stock_Seguridad!O42&amp;": sin ellos queda bajo el SS para esa cadena. ","")&amp;IF(E42="SOBRE MAX VENDIBLE","Sobrestock vs vida útil: frenar producción/activar venta. ","")&amp;IF(N(N42)&gt;=Parametros!$B$17,TEXT(N42,"#,##0")&amp;" kg ya no los acepta ninguna cadena: venta intermedia/liquidación. ","")&amp;IF(N(M42)&gt;=Parametros!$B$17,TEXT(M42,"#,##0")&amp;" kg a punto de salir del filtro: despachar primero (FEFO). ","")&amp;IF(Y42="SÍ","Pedidos "&amp;IF(N(U42)&gt;0,"sobre","bajo")&amp;" FCST "&amp;TEXT(ABS(N(U42)),"0%")&amp;": revisar forecast con KAM.","")</f>
        <v/>
      </c>
    </row>
    <row r="43" customFormat="false" ht="15" hidden="false" customHeight="false" outlineLevel="0" collapsed="false">
      <c r="A43" s="18" t="n">
        <f aca="false">Stock_Seguridad!A43</f>
        <v>30000306</v>
      </c>
      <c r="B43" s="18" t="str">
        <f aca="false">Stock_Seguridad!B43</f>
        <v>YOGU YOGU DAMASCO 30X200GR</v>
      </c>
      <c r="C43" s="18" t="str">
        <f aca="false">Stock_Seguridad!C43</f>
        <v>LECHES LIQUIDAS</v>
      </c>
      <c r="D43" s="18" t="str">
        <f aca="false">Stock_Seguridad!F43</f>
        <v>BX</v>
      </c>
      <c r="E43" s="19" t="str">
        <f aca="false">Stock_Seguridad!X43</f>
        <v>OK</v>
      </c>
      <c r="F43" s="20" t="n">
        <f aca="false">Stock_Seguridad!W43</f>
        <v>4.32649334422606</v>
      </c>
      <c r="G43" s="21" t="n">
        <f aca="false">Stock_Seguridad!T43</f>
        <v>36012</v>
      </c>
      <c r="H43" s="21" t="n">
        <f aca="false">Stock_Seguridad!R43</f>
        <v>3624.91346238817</v>
      </c>
      <c r="I43" s="21" t="n">
        <f aca="false">Stock_Seguridad!S43</f>
        <v>11948.5134623882</v>
      </c>
      <c r="J43" s="21" t="n">
        <f aca="false">Stock_Seguridad!U43</f>
        <v>0</v>
      </c>
      <c r="K43" s="22"/>
      <c r="L43" s="23" t="n">
        <v>300</v>
      </c>
      <c r="M43" s="23" t="n">
        <v>7590</v>
      </c>
      <c r="N43" s="23" t="n">
        <v>0</v>
      </c>
      <c r="O43" s="24" t="n">
        <v>0.130949863574352</v>
      </c>
      <c r="P43" s="24" t="n">
        <f aca="false">IF(ISNUMBER(Stock_Seguridad!N43),Stock_Seguridad!N43,"")</f>
        <v>0.220408163265306</v>
      </c>
      <c r="Q43" s="24" t="n">
        <f aca="false">IF(AND(ISNUMBER(O43),ISNUMBER(P43)),P43-O43,"")</f>
        <v>0.0894582996909541</v>
      </c>
      <c r="R43" s="23" t="n">
        <f aca="false">MAX(0,G43-N(L43))</f>
        <v>35712</v>
      </c>
      <c r="S43" s="23" t="n">
        <f aca="false">SUMIFS(Cadenas_vs_FCST!$D$17:$D$652,Cadenas_vs_FCST!$A$17:$A$652,A43)</f>
        <v>29598</v>
      </c>
      <c r="T43" s="23" t="n">
        <f aca="false">SUMIFS(Cadenas_vs_FCST!$E$17:$E$652,Cadenas_vs_FCST!$A$17:$A$652,A43)</f>
        <v>33059.3260931757</v>
      </c>
      <c r="U43" s="24" t="n">
        <f aca="false">IF(T43&gt;0,S43/T43-1,"")</f>
        <v>-0.104700443179638</v>
      </c>
      <c r="V43" s="3" t="str">
        <f aca="false">IF(OR(E43="BAJO SS",E43="BAJO SS (XLIB CUBRE)"),"SÍ","")</f>
        <v/>
      </c>
      <c r="W43" s="3" t="str">
        <f aca="false">IF(AND(V43="",N(L43)&gt;=Parametros!$B$17,G43&gt;=H43,R43&lt;H43),"SÍ","")</f>
        <v/>
      </c>
      <c r="X43" s="3" t="str">
        <f aca="false">IF(OR(E43="SOBRE MAX VENDIBLE",N(N43)&gt;=Parametros!$B$17,N(M43)&gt;=Parametros!$B$17),"SÍ","")</f>
        <v>SÍ</v>
      </c>
      <c r="Y43" s="3" t="str">
        <f aca="false">IF(AND(ISNUMBER(U43),MAX(S43,T43)&gt;=Parametros!$B$15,ABS(N(U43))&gt;Parametros!$B$14),"SÍ","")</f>
        <v/>
      </c>
      <c r="Z43" s="3" t="n">
        <f aca="false">COUNTIF(V43:Y43,"SÍ")</f>
        <v>1</v>
      </c>
      <c r="AA43" s="3" t="n">
        <f aca="false">(3*(V43="SÍ")+2*(W43="SÍ")+2*(X43="SÍ")+(Y43="SÍ"))*IF(LEFT(D43,1)="A",3,IF(OR(LEFT(D43,1)="B",D43="SIN HIST"),2,1))</f>
        <v>4</v>
      </c>
      <c r="AB43" s="3" t="str">
        <f aca="false">IF(AA43&gt;=9,"1-ALTA",IF(AA43&gt;=4,"2-MEDIA",IF(AA43&gt;0,"3-BAJA","")))</f>
        <v>2-MEDIA</v>
      </c>
      <c r="AC43" s="3" t="str">
        <f aca="false">IF(E43="BAJO SS","Stock + XLIB bajo el SS: riesgo real de quiebre, adelantar producción. ","")&amp;IF(E43="BAJO SS (XLIB CUBRE)","Disponible bajo el SS; depende de liberar "&amp;TEXT(J43,"#,##0")&amp;" kg"&amp;IF(ISNUMBER(K43)," el "&amp;TEXT(K43,"dd-mm"),"")&amp;". ","")&amp;IF(W43="SÍ","Stock parece sano pero "&amp;TEXT(L43,"#,##0")&amp;" kg no pasan filtro "&amp;Stock_Seguridad!O43&amp;": sin ellos queda bajo el SS para esa cadena. ","")&amp;IF(E43="SOBRE MAX VENDIBLE","Sobrestock vs vida útil: frenar producción/activar venta. ","")&amp;IF(N(N43)&gt;=Parametros!$B$17,TEXT(N43,"#,##0")&amp;" kg ya no los acepta ninguna cadena: venta intermedia/liquidación. ","")&amp;IF(N(M43)&gt;=Parametros!$B$17,TEXT(M43,"#,##0")&amp;" kg a punto de salir del filtro: despachar primero (FEFO). ","")&amp;IF(Y43="SÍ","Pedidos "&amp;IF(N(U43)&gt;0,"sobre","bajo")&amp;" FCST "&amp;TEXT(ABS(N(U43)),"0%")&amp;": revisar forecast con KAM.","")</f>
        <v>7,590 kg a punto de salir del filtro: despachar primero (FEFO). </v>
      </c>
    </row>
    <row r="44" customFormat="false" ht="15" hidden="false" customHeight="false" outlineLevel="0" collapsed="false">
      <c r="A44" s="18" t="n">
        <f aca="false">Stock_Seguridad!A44</f>
        <v>30000478</v>
      </c>
      <c r="B44" s="18" t="str">
        <f aca="false">Stock_Seguridad!B44</f>
        <v>CAPPUCCINO LONCOLECHE 12X1LT</v>
      </c>
      <c r="C44" s="18" t="str">
        <f aca="false">Stock_Seguridad!C44</f>
        <v>LECHES LIQUIDAS</v>
      </c>
      <c r="D44" s="18" t="str">
        <f aca="false">Stock_Seguridad!F44</f>
        <v>BX</v>
      </c>
      <c r="E44" s="19" t="str">
        <f aca="false">Stock_Seguridad!X44</f>
        <v>OK</v>
      </c>
      <c r="F44" s="20" t="n">
        <f aca="false">Stock_Seguridad!W44</f>
        <v>2.30815679565239</v>
      </c>
      <c r="G44" s="21" t="n">
        <f aca="false">Stock_Seguridad!T44</f>
        <v>18348</v>
      </c>
      <c r="H44" s="21" t="n">
        <f aca="false">Stock_Seguridad!R44</f>
        <v>2057.88015683008</v>
      </c>
      <c r="I44" s="21" t="n">
        <f aca="false">Stock_Seguridad!S44</f>
        <v>10007.0801568301</v>
      </c>
      <c r="J44" s="21" t="n">
        <f aca="false">Stock_Seguridad!U44</f>
        <v>0</v>
      </c>
      <c r="K44" s="22"/>
      <c r="L44" s="23" t="n">
        <v>240</v>
      </c>
      <c r="M44" s="23" t="n">
        <v>2616</v>
      </c>
      <c r="N44" s="23" t="n">
        <v>0</v>
      </c>
      <c r="O44" s="24" t="n">
        <v>0.103112712975098</v>
      </c>
      <c r="P44" s="24" t="n">
        <f aca="false">IF(ISNUMBER(Stock_Seguridad!N44),Stock_Seguridad!N44,"")</f>
        <v>0.256</v>
      </c>
      <c r="Q44" s="24" t="n">
        <f aca="false">IF(AND(ISNUMBER(O44),ISNUMBER(P44)),P44-O44,"")</f>
        <v>0.152887287024902</v>
      </c>
      <c r="R44" s="23" t="n">
        <f aca="false">MAX(0,G44-N(L44))</f>
        <v>18108</v>
      </c>
      <c r="S44" s="23" t="n">
        <f aca="false">SUMIFS(Cadenas_vs_FCST!$D$17:$D$652,Cadenas_vs_FCST!$A$17:$A$652,A44)</f>
        <v>17580</v>
      </c>
      <c r="T44" s="23" t="n">
        <f aca="false">SUMIFS(Cadenas_vs_FCST!$E$17:$E$652,Cadenas_vs_FCST!$A$17:$A$652,A44)</f>
        <v>17653.0422169855</v>
      </c>
      <c r="U44" s="24" t="n">
        <f aca="false">IF(T44&gt;0,S44/T44-1,"")</f>
        <v>-0.00413765605314398</v>
      </c>
      <c r="V44" s="3" t="str">
        <f aca="false">IF(OR(E44="BAJO SS",E44="BAJO SS (XLIB CUBRE)"),"SÍ","")</f>
        <v/>
      </c>
      <c r="W44" s="3" t="str">
        <f aca="false">IF(AND(V44="",N(L44)&gt;=Parametros!$B$17,G44&gt;=H44,R44&lt;H44),"SÍ","")</f>
        <v/>
      </c>
      <c r="X44" s="3" t="str">
        <f aca="false">IF(OR(E44="SOBRE MAX VENDIBLE",N(N44)&gt;=Parametros!$B$17,N(M44)&gt;=Parametros!$B$17),"SÍ","")</f>
        <v>SÍ</v>
      </c>
      <c r="Y44" s="3" t="str">
        <f aca="false">IF(AND(ISNUMBER(U44),MAX(S44,T44)&gt;=Parametros!$B$15,ABS(N(U44))&gt;Parametros!$B$14),"SÍ","")</f>
        <v/>
      </c>
      <c r="Z44" s="3" t="n">
        <f aca="false">COUNTIF(V44:Y44,"SÍ")</f>
        <v>1</v>
      </c>
      <c r="AA44" s="3" t="n">
        <f aca="false">(3*(V44="SÍ")+2*(W44="SÍ")+2*(X44="SÍ")+(Y44="SÍ"))*IF(LEFT(D44,1)="A",3,IF(OR(LEFT(D44,1)="B",D44="SIN HIST"),2,1))</f>
        <v>4</v>
      </c>
      <c r="AB44" s="3" t="str">
        <f aca="false">IF(AA44&gt;=9,"1-ALTA",IF(AA44&gt;=4,"2-MEDIA",IF(AA44&gt;0,"3-BAJA","")))</f>
        <v>2-MEDIA</v>
      </c>
      <c r="AC44" s="3" t="str">
        <f aca="false">IF(E44="BAJO SS","Stock + XLIB bajo el SS: riesgo real de quiebre, adelantar producción. ","")&amp;IF(E44="BAJO SS (XLIB CUBRE)","Disponible bajo el SS; depende de liberar "&amp;TEXT(J44,"#,##0")&amp;" kg"&amp;IF(ISNUMBER(K44)," el "&amp;TEXT(K44,"dd-mm"),"")&amp;". ","")&amp;IF(W44="SÍ","Stock parece sano pero "&amp;TEXT(L44,"#,##0")&amp;" kg no pasan filtro "&amp;Stock_Seguridad!O44&amp;": sin ellos queda bajo el SS para esa cadena. ","")&amp;IF(E44="SOBRE MAX VENDIBLE","Sobrestock vs vida útil: frenar producción/activar venta. ","")&amp;IF(N(N44)&gt;=Parametros!$B$17,TEXT(N44,"#,##0")&amp;" kg ya no los acepta ninguna cadena: venta intermedia/liquidación. ","")&amp;IF(N(M44)&gt;=Parametros!$B$17,TEXT(M44,"#,##0")&amp;" kg a punto de salir del filtro: despachar primero (FEFO). ","")&amp;IF(Y44="SÍ","Pedidos "&amp;IF(N(U44)&gt;0,"sobre","bajo")&amp;" FCST "&amp;TEXT(ABS(N(U44)),"0%")&amp;": revisar forecast con KAM.","")</f>
        <v>2,616 kg a punto de salir del filtro: despachar primero (FEFO). </v>
      </c>
    </row>
    <row r="45" customFormat="false" ht="15" hidden="false" customHeight="false" outlineLevel="0" collapsed="false">
      <c r="A45" s="18" t="n">
        <f aca="false">Stock_Seguridad!A45</f>
        <v>30002230</v>
      </c>
      <c r="B45" s="18" t="str">
        <f aca="false">Stock_Seguridad!B45</f>
        <v>NECTAR WATTS MANZANA 5X10X115ML</v>
      </c>
      <c r="C45" s="18" t="str">
        <f aca="false">Stock_Seguridad!C45</f>
        <v>JUGOS Y NECTARES</v>
      </c>
      <c r="D45" s="18" t="str">
        <f aca="false">Stock_Seguridad!F45</f>
        <v>BY</v>
      </c>
      <c r="E45" s="19" t="str">
        <f aca="false">Stock_Seguridad!X45</f>
        <v>OK</v>
      </c>
      <c r="F45" s="20" t="n">
        <f aca="false">Stock_Seguridad!W45</f>
        <v>11.559520781401</v>
      </c>
      <c r="G45" s="21" t="n">
        <f aca="false">Stock_Seguridad!T45</f>
        <v>90890.2</v>
      </c>
      <c r="H45" s="21" t="n">
        <f aca="false">Stock_Seguridad!R45</f>
        <v>8512.04816203701</v>
      </c>
      <c r="I45" s="21" t="n">
        <f aca="false">Stock_Seguridad!S45</f>
        <v>16374.848162037</v>
      </c>
      <c r="J45" s="21" t="n">
        <f aca="false">Stock_Seguridad!U45</f>
        <v>0</v>
      </c>
      <c r="K45" s="22"/>
      <c r="L45" s="23" t="n">
        <v>626.75</v>
      </c>
      <c r="M45" s="23" t="n">
        <v>4519.5</v>
      </c>
      <c r="N45" s="23" t="n">
        <v>511.75</v>
      </c>
      <c r="O45" s="24" t="n">
        <v>0.0698159043461757</v>
      </c>
      <c r="P45" s="24" t="n">
        <f aca="false">IF(ISNUMBER(Stock_Seguridad!N45),Stock_Seguridad!N45,"")</f>
        <v>0.273972602739726</v>
      </c>
      <c r="Q45" s="24" t="n">
        <f aca="false">IF(AND(ISNUMBER(O45),ISNUMBER(P45)),P45-O45,"")</f>
        <v>0.20415669839355</v>
      </c>
      <c r="R45" s="23" t="n">
        <f aca="false">MAX(0,G45-N(L45))</f>
        <v>90263.45</v>
      </c>
      <c r="S45" s="23" t="n">
        <f aca="false">SUMIFS(Cadenas_vs_FCST!$D$17:$D$652,Cadenas_vs_FCST!$A$17:$A$652,A45)</f>
        <v>46115</v>
      </c>
      <c r="T45" s="23" t="n">
        <f aca="false">SUMIFS(Cadenas_vs_FCST!$E$17:$E$652,Cadenas_vs_FCST!$A$17:$A$652,A45)</f>
        <v>28773.4470833333</v>
      </c>
      <c r="U45" s="24" t="n">
        <f aca="false">IF(T45&gt;0,S45/T45-1,"")</f>
        <v>0.602692922625581</v>
      </c>
      <c r="V45" s="3" t="str">
        <f aca="false">IF(OR(E45="BAJO SS",E45="BAJO SS (XLIB CUBRE)"),"SÍ","")</f>
        <v/>
      </c>
      <c r="W45" s="3" t="str">
        <f aca="false">IF(AND(V45="",N(L45)&gt;=Parametros!$B$17,G45&gt;=H45,R45&lt;H45),"SÍ","")</f>
        <v/>
      </c>
      <c r="X45" s="3" t="str">
        <f aca="false">IF(OR(E45="SOBRE MAX VENDIBLE",N(N45)&gt;=Parametros!$B$17,N(M45)&gt;=Parametros!$B$17),"SÍ","")</f>
        <v>SÍ</v>
      </c>
      <c r="Y45" s="3" t="str">
        <f aca="false">IF(AND(ISNUMBER(U45),MAX(S45,T45)&gt;=Parametros!$B$15,ABS(N(U45))&gt;Parametros!$B$14),"SÍ","")</f>
        <v>SÍ</v>
      </c>
      <c r="Z45" s="3" t="n">
        <f aca="false">COUNTIF(V45:Y45,"SÍ")</f>
        <v>2</v>
      </c>
      <c r="AA45" s="3" t="n">
        <f aca="false">(3*(V45="SÍ")+2*(W45="SÍ")+2*(X45="SÍ")+(Y45="SÍ"))*IF(LEFT(D45,1)="A",3,IF(OR(LEFT(D45,1)="B",D45="SIN HIST"),2,1))</f>
        <v>6</v>
      </c>
      <c r="AB45" s="3" t="str">
        <f aca="false">IF(AA45&gt;=9,"1-ALTA",IF(AA45&gt;=4,"2-MEDIA",IF(AA45&gt;0,"3-BAJA","")))</f>
        <v>2-MEDIA</v>
      </c>
      <c r="AC45" s="3" t="str">
        <f aca="false">IF(E45="BAJO SS","Stock + XLIB bajo el SS: riesgo real de quiebre, adelantar producción. ","")&amp;IF(E45="BAJO SS (XLIB CUBRE)","Disponible bajo el SS; depende de liberar "&amp;TEXT(J45,"#,##0")&amp;" kg"&amp;IF(ISNUMBER(K45)," el "&amp;TEXT(K45,"dd-mm"),"")&amp;". ","")&amp;IF(W45="SÍ","Stock parece sano pero "&amp;TEXT(L45,"#,##0")&amp;" kg no pasan filtro "&amp;Stock_Seguridad!O45&amp;": sin ellos queda bajo el SS para esa cadena. ","")&amp;IF(E45="SOBRE MAX VENDIBLE","Sobrestock vs vida útil: frenar producción/activar venta. ","")&amp;IF(N(N45)&gt;=Parametros!$B$17,TEXT(N45,"#,##0")&amp;" kg ya no los acepta ninguna cadena: venta intermedia/liquidación. ","")&amp;IF(N(M45)&gt;=Parametros!$B$17,TEXT(M45,"#,##0")&amp;" kg a punto de salir del filtro: despachar primero (FEFO). ","")&amp;IF(Y45="SÍ","Pedidos "&amp;IF(N(U45)&gt;0,"sobre","bajo")&amp;" FCST "&amp;TEXT(ABS(N(U45)),"0%")&amp;": revisar forecast con KAM.","")</f>
        <v>512 kg ya no los acepta ninguna cadena: venta intermedia/liquidación. 4,520 kg a punto de salir del filtro: despachar primero (FEFO). Pedidos sobre FCST 60%: revisar forecast con KAM.</v>
      </c>
    </row>
    <row r="46" customFormat="false" ht="15" hidden="false" customHeight="false" outlineLevel="0" collapsed="false">
      <c r="A46" s="18" t="n">
        <f aca="false">Stock_Seguridad!A46</f>
        <v>30000354</v>
      </c>
      <c r="B46" s="18" t="str">
        <f aca="false">Stock_Seguridad!B46</f>
        <v>LECHE LONCO SEMI S/LACTOSA 5X6X200ML</v>
      </c>
      <c r="C46" s="18" t="str">
        <f aca="false">Stock_Seguridad!C46</f>
        <v>LECHES LIQUIDAS</v>
      </c>
      <c r="D46" s="18" t="str">
        <f aca="false">Stock_Seguridad!F46</f>
        <v>BX</v>
      </c>
      <c r="E46" s="19" t="str">
        <f aca="false">Stock_Seguridad!X46</f>
        <v>OK</v>
      </c>
      <c r="F46" s="20" t="n">
        <f aca="false">Stock_Seguridad!W46</f>
        <v>4.55385036996437</v>
      </c>
      <c r="G46" s="21" t="n">
        <f aca="false">Stock_Seguridad!T46</f>
        <v>14226</v>
      </c>
      <c r="H46" s="21" t="n">
        <f aca="false">Stock_Seguridad!R46</f>
        <v>2208.22921888284</v>
      </c>
      <c r="I46" s="21" t="n">
        <f aca="false">Stock_Seguridad!S46</f>
        <v>9506.22921888284</v>
      </c>
      <c r="J46" s="21" t="n">
        <f aca="false">Stock_Seguridad!U46</f>
        <v>19008</v>
      </c>
      <c r="K46" s="22" t="n">
        <v>46320</v>
      </c>
      <c r="L46" s="23" t="n">
        <v>0</v>
      </c>
      <c r="M46" s="23" t="n">
        <v>0</v>
      </c>
      <c r="N46" s="23" t="n">
        <v>0</v>
      </c>
      <c r="O46" s="24" t="n">
        <v>0.0843267666726911</v>
      </c>
      <c r="P46" s="24" t="n">
        <f aca="false">IF(ISNUMBER(Stock_Seguridad!N46),Stock_Seguridad!N46,"")</f>
        <v>0.275132275132275</v>
      </c>
      <c r="Q46" s="24" t="n">
        <f aca="false">IF(AND(ISNUMBER(O46),ISNUMBER(P46)),P46-O46,"")</f>
        <v>0.190805508459584</v>
      </c>
      <c r="R46" s="23" t="n">
        <f aca="false">MAX(0,G46-N(L46))</f>
        <v>14226</v>
      </c>
      <c r="S46" s="23" t="n">
        <f aca="false">SUMIFS(Cadenas_vs_FCST!$D$17:$D$652,Cadenas_vs_FCST!$A$17:$A$652,A46)</f>
        <v>20922</v>
      </c>
      <c r="T46" s="23" t="n">
        <f aca="false">SUMIFS(Cadenas_vs_FCST!$E$17:$E$652,Cadenas_vs_FCST!$A$17:$A$652,A46)</f>
        <v>22841.3398688968</v>
      </c>
      <c r="U46" s="24" t="n">
        <f aca="false">IF(T46&gt;0,S46/T46-1,"")</f>
        <v>-0.0840292154450353</v>
      </c>
      <c r="V46" s="3" t="str">
        <f aca="false">IF(OR(E46="BAJO SS",E46="BAJO SS (XLIB CUBRE)"),"SÍ","")</f>
        <v/>
      </c>
      <c r="W46" s="3" t="str">
        <f aca="false">IF(AND(V46="",N(L46)&gt;=Parametros!$B$17,G46&gt;=H46,R46&lt;H46),"SÍ","")</f>
        <v/>
      </c>
      <c r="X46" s="3" t="str">
        <f aca="false">IF(OR(E46="SOBRE MAX VENDIBLE",N(N46)&gt;=Parametros!$B$17,N(M46)&gt;=Parametros!$B$17),"SÍ","")</f>
        <v/>
      </c>
      <c r="Y46" s="3" t="str">
        <f aca="false">IF(AND(ISNUMBER(U46),MAX(S46,T46)&gt;=Parametros!$B$15,ABS(N(U46))&gt;Parametros!$B$14),"SÍ","")</f>
        <v/>
      </c>
      <c r="Z46" s="3" t="n">
        <f aca="false">COUNTIF(V46:Y46,"SÍ")</f>
        <v>0</v>
      </c>
      <c r="AA46" s="3" t="n">
        <f aca="false">(3*(V46="SÍ")+2*(W46="SÍ")+2*(X46="SÍ")+(Y46="SÍ"))*IF(LEFT(D46,1)="A",3,IF(OR(LEFT(D46,1)="B",D46="SIN HIST"),2,1))</f>
        <v>0</v>
      </c>
      <c r="AB46" s="3" t="str">
        <f aca="false">IF(AA46&gt;=9,"1-ALTA",IF(AA46&gt;=4,"2-MEDIA",IF(AA46&gt;0,"3-BAJA","")))</f>
        <v/>
      </c>
      <c r="AC46" s="3" t="str">
        <f aca="false">IF(E46="BAJO SS","Stock + XLIB bajo el SS: riesgo real de quiebre, adelantar producción. ","")&amp;IF(E46="BAJO SS (XLIB CUBRE)","Disponible bajo el SS; depende de liberar "&amp;TEXT(J46,"#,##0")&amp;" kg"&amp;IF(ISNUMBER(K46)," el "&amp;TEXT(K46,"dd-mm"),"")&amp;". ","")&amp;IF(W46="SÍ","Stock parece sano pero "&amp;TEXT(L46,"#,##0")&amp;" kg no pasan filtro "&amp;Stock_Seguridad!O46&amp;": sin ellos queda bajo el SS para esa cadena. ","")&amp;IF(E46="SOBRE MAX VENDIBLE","Sobrestock vs vida útil: frenar producción/activar venta. ","")&amp;IF(N(N46)&gt;=Parametros!$B$17,TEXT(N46,"#,##0")&amp;" kg ya no los acepta ninguna cadena: venta intermedia/liquidación. ","")&amp;IF(N(M46)&gt;=Parametros!$B$17,TEXT(M46,"#,##0")&amp;" kg a punto de salir del filtro: despachar primero (FEFO). ","")&amp;IF(Y46="SÍ","Pedidos "&amp;IF(N(U46)&gt;0,"sobre","bajo")&amp;" FCST "&amp;TEXT(ABS(N(U46)),"0%")&amp;": revisar forecast con KAM.","")</f>
        <v/>
      </c>
    </row>
    <row r="47" customFormat="false" ht="15" hidden="false" customHeight="false" outlineLevel="0" collapsed="false">
      <c r="A47" s="18" t="n">
        <f aca="false">Stock_Seguridad!A47</f>
        <v>30002272</v>
      </c>
      <c r="B47" s="18" t="str">
        <f aca="false">Stock_Seguridad!B47</f>
        <v>LECHE LONCO PROTEIN DESCREMADA 30X200ML</v>
      </c>
      <c r="C47" s="18" t="str">
        <f aca="false">Stock_Seguridad!C47</f>
        <v>LECHES LIQUIDAS</v>
      </c>
      <c r="D47" s="18" t="str">
        <f aca="false">Stock_Seguridad!F47</f>
        <v>BX</v>
      </c>
      <c r="E47" s="19" t="str">
        <f aca="false">Stock_Seguridad!X47</f>
        <v>OK</v>
      </c>
      <c r="F47" s="20" t="n">
        <f aca="false">Stock_Seguridad!W47</f>
        <v>1.77949173232716</v>
      </c>
      <c r="G47" s="21" t="n">
        <f aca="false">Stock_Seguridad!T47</f>
        <v>12828</v>
      </c>
      <c r="H47" s="21" t="n">
        <f aca="false">Stock_Seguridad!R47</f>
        <v>2889.40454961835</v>
      </c>
      <c r="I47" s="21" t="n">
        <f aca="false">Stock_Seguridad!S47</f>
        <v>10098.2045496184</v>
      </c>
      <c r="J47" s="21" t="n">
        <f aca="false">Stock_Seguridad!U47</f>
        <v>0</v>
      </c>
      <c r="K47" s="22"/>
      <c r="L47" s="23" t="n">
        <v>0</v>
      </c>
      <c r="M47" s="23" t="n">
        <v>0</v>
      </c>
      <c r="N47" s="23" t="n">
        <v>0</v>
      </c>
      <c r="O47" s="24" t="n">
        <v>0.10622076707203</v>
      </c>
      <c r="P47" s="24" t="str">
        <f aca="false">IF(ISNUMBER(Stock_Seguridad!N47),Stock_Seguridad!N47,"")</f>
        <v/>
      </c>
      <c r="Q47" s="24" t="str">
        <f aca="false">IF(AND(ISNUMBER(O47),ISNUMBER(P47)),P47-O47,"")</f>
        <v/>
      </c>
      <c r="R47" s="23" t="n">
        <f aca="false">MAX(0,G47-N(L47))</f>
        <v>12828</v>
      </c>
      <c r="S47" s="23" t="n">
        <f aca="false">SUMIFS(Cadenas_vs_FCST!$D$17:$D$652,Cadenas_vs_FCST!$A$17:$A$652,A47)</f>
        <v>23064</v>
      </c>
      <c r="T47" s="23" t="n">
        <f aca="false">SUMIFS(Cadenas_vs_FCST!$E$17:$E$652,Cadenas_vs_FCST!$A$17:$A$652,A47)</f>
        <v>19977.2109719198</v>
      </c>
      <c r="U47" s="24" t="n">
        <f aca="false">IF(T47&gt;0,S47/T47-1,"")</f>
        <v>0.15451551432375</v>
      </c>
      <c r="V47" s="3" t="str">
        <f aca="false">IF(OR(E47="BAJO SS",E47="BAJO SS (XLIB CUBRE)"),"SÍ","")</f>
        <v/>
      </c>
      <c r="W47" s="3" t="str">
        <f aca="false">IF(AND(V47="",N(L47)&gt;=Parametros!$B$17,G47&gt;=H47,R47&lt;H47),"SÍ","")</f>
        <v/>
      </c>
      <c r="X47" s="3" t="str">
        <f aca="false">IF(OR(E47="SOBRE MAX VENDIBLE",N(N47)&gt;=Parametros!$B$17,N(M47)&gt;=Parametros!$B$17),"SÍ","")</f>
        <v/>
      </c>
      <c r="Y47" s="3" t="str">
        <f aca="false">IF(AND(ISNUMBER(U47),MAX(S47,T47)&gt;=Parametros!$B$15,ABS(N(U47))&gt;Parametros!$B$14),"SÍ","")</f>
        <v/>
      </c>
      <c r="Z47" s="3" t="n">
        <f aca="false">COUNTIF(V47:Y47,"SÍ")</f>
        <v>0</v>
      </c>
      <c r="AA47" s="3" t="n">
        <f aca="false">(3*(V47="SÍ")+2*(W47="SÍ")+2*(X47="SÍ")+(Y47="SÍ"))*IF(LEFT(D47,1)="A",3,IF(OR(LEFT(D47,1)="B",D47="SIN HIST"),2,1))</f>
        <v>0</v>
      </c>
      <c r="AB47" s="3" t="str">
        <f aca="false">IF(AA47&gt;=9,"1-ALTA",IF(AA47&gt;=4,"2-MEDIA",IF(AA47&gt;0,"3-BAJA","")))</f>
        <v/>
      </c>
      <c r="AC47" s="3" t="str">
        <f aca="false">IF(E47="BAJO SS","Stock + XLIB bajo el SS: riesgo real de quiebre, adelantar producción. ","")&amp;IF(E47="BAJO SS (XLIB CUBRE)","Disponible bajo el SS; depende de liberar "&amp;TEXT(J47,"#,##0")&amp;" kg"&amp;IF(ISNUMBER(K47)," el "&amp;TEXT(K47,"dd-mm"),"")&amp;". ","")&amp;IF(W47="SÍ","Stock parece sano pero "&amp;TEXT(L47,"#,##0")&amp;" kg no pasan filtro "&amp;Stock_Seguridad!O47&amp;": sin ellos queda bajo el SS para esa cadena. ","")&amp;IF(E47="SOBRE MAX VENDIBLE","Sobrestock vs vida útil: frenar producción/activar venta. ","")&amp;IF(N(N47)&gt;=Parametros!$B$17,TEXT(N47,"#,##0")&amp;" kg ya no los acepta ninguna cadena: venta intermedia/liquidación. ","")&amp;IF(N(M47)&gt;=Parametros!$B$17,TEXT(M47,"#,##0")&amp;" kg a punto de salir del filtro: despachar primero (FEFO). ","")&amp;IF(Y47="SÍ","Pedidos "&amp;IF(N(U47)&gt;0,"sobre","bajo")&amp;" FCST "&amp;TEXT(ABS(N(U47)),"0%")&amp;": revisar forecast con KAM.","")</f>
        <v/>
      </c>
    </row>
    <row r="48" customFormat="false" ht="15" hidden="false" customHeight="false" outlineLevel="0" collapsed="false">
      <c r="A48" s="18" t="n">
        <f aca="false">Stock_Seguridad!A48</f>
        <v>30001882</v>
      </c>
      <c r="B48" s="18" t="str">
        <f aca="false">Stock_Seguridad!B48</f>
        <v>CREMA BATIR LONCO 12X500ML</v>
      </c>
      <c r="C48" s="18" t="str">
        <f aca="false">Stock_Seguridad!C48</f>
        <v>CREMA</v>
      </c>
      <c r="D48" s="18" t="str">
        <f aca="false">Stock_Seguridad!F48</f>
        <v>BX</v>
      </c>
      <c r="E48" s="19" t="str">
        <f aca="false">Stock_Seguridad!X48</f>
        <v>OK</v>
      </c>
      <c r="F48" s="20" t="n">
        <f aca="false">Stock_Seguridad!W48</f>
        <v>2.22668893454132</v>
      </c>
      <c r="G48" s="21" t="n">
        <f aca="false">Stock_Seguridad!T48</f>
        <v>8196</v>
      </c>
      <c r="H48" s="21" t="n">
        <f aca="false">Stock_Seguridad!R48</f>
        <v>1920.60811084986</v>
      </c>
      <c r="I48" s="21" t="n">
        <f aca="false">Stock_Seguridad!S48</f>
        <v>8686.70811084986</v>
      </c>
      <c r="J48" s="21" t="n">
        <f aca="false">Stock_Seguridad!U48</f>
        <v>6870</v>
      </c>
      <c r="K48" s="22" t="n">
        <v>46319</v>
      </c>
      <c r="L48" s="23" t="n">
        <v>324</v>
      </c>
      <c r="M48" s="23" t="n">
        <v>6</v>
      </c>
      <c r="N48" s="23" t="n">
        <v>306</v>
      </c>
      <c r="O48" s="24" t="n">
        <v>0.0585663082437276</v>
      </c>
      <c r="P48" s="24" t="n">
        <f aca="false">IF(ISNUMBER(Stock_Seguridad!N48),Stock_Seguridad!N48,"")</f>
        <v>0.190217391304348</v>
      </c>
      <c r="Q48" s="24" t="n">
        <f aca="false">IF(AND(ISNUMBER(O48),ISNUMBER(P48)),P48-O48,"")</f>
        <v>0.13165108306062</v>
      </c>
      <c r="R48" s="23" t="n">
        <f aca="false">MAX(0,G48-N(L48))</f>
        <v>7872</v>
      </c>
      <c r="S48" s="23" t="n">
        <f aca="false">SUMIFS(Cadenas_vs_FCST!$D$17:$D$652,Cadenas_vs_FCST!$A$17:$A$652,A48)</f>
        <v>19260</v>
      </c>
      <c r="T48" s="23" t="n">
        <f aca="false">SUMIFS(Cadenas_vs_FCST!$E$17:$E$652,Cadenas_vs_FCST!$A$17:$A$652,A48)</f>
        <v>19368.3013503147</v>
      </c>
      <c r="U48" s="24" t="n">
        <f aca="false">IF(T48&gt;0,S48/T48-1,"")</f>
        <v>-0.00559168036245517</v>
      </c>
      <c r="V48" s="3" t="str">
        <f aca="false">IF(OR(E48="BAJO SS",E48="BAJO SS (XLIB CUBRE)"),"SÍ","")</f>
        <v/>
      </c>
      <c r="W48" s="3" t="str">
        <f aca="false">IF(AND(V48="",N(L48)&gt;=Parametros!$B$17,G48&gt;=H48,R48&lt;H48),"SÍ","")</f>
        <v/>
      </c>
      <c r="X48" s="3" t="str">
        <f aca="false">IF(OR(E48="SOBRE MAX VENDIBLE",N(N48)&gt;=Parametros!$B$17,N(M48)&gt;=Parametros!$B$17),"SÍ","")</f>
        <v/>
      </c>
      <c r="Y48" s="3" t="str">
        <f aca="false">IF(AND(ISNUMBER(U48),MAX(S48,T48)&gt;=Parametros!$B$15,ABS(N(U48))&gt;Parametros!$B$14),"SÍ","")</f>
        <v/>
      </c>
      <c r="Z48" s="3" t="n">
        <f aca="false">COUNTIF(V48:Y48,"SÍ")</f>
        <v>0</v>
      </c>
      <c r="AA48" s="3" t="n">
        <f aca="false">(3*(V48="SÍ")+2*(W48="SÍ")+2*(X48="SÍ")+(Y48="SÍ"))*IF(LEFT(D48,1)="A",3,IF(OR(LEFT(D48,1)="B",D48="SIN HIST"),2,1))</f>
        <v>0</v>
      </c>
      <c r="AB48" s="3" t="str">
        <f aca="false">IF(AA48&gt;=9,"1-ALTA",IF(AA48&gt;=4,"2-MEDIA",IF(AA48&gt;0,"3-BAJA","")))</f>
        <v/>
      </c>
      <c r="AC48" s="3" t="str">
        <f aca="false">IF(E48="BAJO SS","Stock + XLIB bajo el SS: riesgo real de quiebre, adelantar producción. ","")&amp;IF(E48="BAJO SS (XLIB CUBRE)","Disponible bajo el SS; depende de liberar "&amp;TEXT(J48,"#,##0")&amp;" kg"&amp;IF(ISNUMBER(K48)," el "&amp;TEXT(K48,"dd-mm"),"")&amp;". ","")&amp;IF(W48="SÍ","Stock parece sano pero "&amp;TEXT(L48,"#,##0")&amp;" kg no pasan filtro "&amp;Stock_Seguridad!O48&amp;": sin ellos queda bajo el SS para esa cadena. ","")&amp;IF(E48="SOBRE MAX VENDIBLE","Sobrestock vs vida útil: frenar producción/activar venta. ","")&amp;IF(N(N48)&gt;=Parametros!$B$17,TEXT(N48,"#,##0")&amp;" kg ya no los acepta ninguna cadena: venta intermedia/liquidación. ","")&amp;IF(N(M48)&gt;=Parametros!$B$17,TEXT(M48,"#,##0")&amp;" kg a punto de salir del filtro: despachar primero (FEFO). ","")&amp;IF(Y48="SÍ","Pedidos "&amp;IF(N(U48)&gt;0,"sobre","bajo")&amp;" FCST "&amp;TEXT(ABS(N(U48)),"0%")&amp;": revisar forecast con KAM.","")</f>
        <v/>
      </c>
    </row>
    <row r="49" customFormat="false" ht="15" hidden="false" customHeight="false" outlineLevel="0" collapsed="false">
      <c r="A49" s="18" t="n">
        <f aca="false">Stock_Seguridad!A49</f>
        <v>30001423</v>
      </c>
      <c r="B49" s="18" t="str">
        <f aca="false">Stock_Seguridad!B49</f>
        <v>LECHE FULL LONCO PROTEIN VLLA 18X250ML</v>
      </c>
      <c r="C49" s="18" t="str">
        <f aca="false">Stock_Seguridad!C49</f>
        <v>LECHES LIQUIDAS</v>
      </c>
      <c r="D49" s="18" t="str">
        <f aca="false">Stock_Seguridad!F49</f>
        <v>BX</v>
      </c>
      <c r="E49" s="19" t="str">
        <f aca="false">Stock_Seguridad!X49</f>
        <v>OK</v>
      </c>
      <c r="F49" s="20" t="n">
        <f aca="false">Stock_Seguridad!W49</f>
        <v>3.29439570928594</v>
      </c>
      <c r="G49" s="21" t="n">
        <f aca="false">Stock_Seguridad!T49</f>
        <v>21744</v>
      </c>
      <c r="H49" s="21" t="n">
        <f aca="false">Stock_Seguridad!R49</f>
        <v>3168.0966778998</v>
      </c>
      <c r="I49" s="21" t="n">
        <f aca="false">Stock_Seguridad!S49</f>
        <v>9768.3966778998</v>
      </c>
      <c r="J49" s="21" t="n">
        <f aca="false">Stock_Seguridad!U49</f>
        <v>0</v>
      </c>
      <c r="K49" s="22"/>
      <c r="L49" s="23" t="n">
        <v>4.5</v>
      </c>
      <c r="M49" s="23" t="n">
        <v>0</v>
      </c>
      <c r="N49" s="23" t="n">
        <v>0</v>
      </c>
      <c r="O49" s="24" t="n">
        <v>0.0948373731095919</v>
      </c>
      <c r="P49" s="24" t="n">
        <f aca="false">IF(ISNUMBER(Stock_Seguridad!N49),Stock_Seguridad!N49,"")</f>
        <v>0.211640211640212</v>
      </c>
      <c r="Q49" s="24" t="n">
        <f aca="false">IF(AND(ISNUMBER(O49),ISNUMBER(P49)),P49-O49,"")</f>
        <v>0.11680283853062</v>
      </c>
      <c r="R49" s="23" t="n">
        <f aca="false">MAX(0,G49-N(L49))</f>
        <v>21739.5</v>
      </c>
      <c r="S49" s="23" t="n">
        <f aca="false">SUMIFS(Cadenas_vs_FCST!$D$17:$D$652,Cadenas_vs_FCST!$A$17:$A$652,A49)</f>
        <v>26752.5</v>
      </c>
      <c r="T49" s="23" t="n">
        <f aca="false">SUMIFS(Cadenas_vs_FCST!$E$17:$E$652,Cadenas_vs_FCST!$A$17:$A$652,A49)</f>
        <v>28525.6316398683</v>
      </c>
      <c r="U49" s="24" t="n">
        <f aca="false">IF(T49&gt;0,S49/T49-1,"")</f>
        <v>-0.0621592419846756</v>
      </c>
      <c r="V49" s="3" t="str">
        <f aca="false">IF(OR(E49="BAJO SS",E49="BAJO SS (XLIB CUBRE)"),"SÍ","")</f>
        <v/>
      </c>
      <c r="W49" s="3" t="str">
        <f aca="false">IF(AND(V49="",N(L49)&gt;=Parametros!$B$17,G49&gt;=H49,R49&lt;H49),"SÍ","")</f>
        <v/>
      </c>
      <c r="X49" s="3" t="str">
        <f aca="false">IF(OR(E49="SOBRE MAX VENDIBLE",N(N49)&gt;=Parametros!$B$17,N(M49)&gt;=Parametros!$B$17),"SÍ","")</f>
        <v/>
      </c>
      <c r="Y49" s="3" t="str">
        <f aca="false">IF(AND(ISNUMBER(U49),MAX(S49,T49)&gt;=Parametros!$B$15,ABS(N(U49))&gt;Parametros!$B$14),"SÍ","")</f>
        <v/>
      </c>
      <c r="Z49" s="3" t="n">
        <f aca="false">COUNTIF(V49:Y49,"SÍ")</f>
        <v>0</v>
      </c>
      <c r="AA49" s="3" t="n">
        <f aca="false">(3*(V49="SÍ")+2*(W49="SÍ")+2*(X49="SÍ")+(Y49="SÍ"))*IF(LEFT(D49,1)="A",3,IF(OR(LEFT(D49,1)="B",D49="SIN HIST"),2,1))</f>
        <v>0</v>
      </c>
      <c r="AB49" s="3" t="str">
        <f aca="false">IF(AA49&gt;=9,"1-ALTA",IF(AA49&gt;=4,"2-MEDIA",IF(AA49&gt;0,"3-BAJA","")))</f>
        <v/>
      </c>
      <c r="AC49" s="3" t="str">
        <f aca="false">IF(E49="BAJO SS","Stock + XLIB bajo el SS: riesgo real de quiebre, adelantar producción. ","")&amp;IF(E49="BAJO SS (XLIB CUBRE)","Disponible bajo el SS; depende de liberar "&amp;TEXT(J49,"#,##0")&amp;" kg"&amp;IF(ISNUMBER(K49)," el "&amp;TEXT(K49,"dd-mm"),"")&amp;". ","")&amp;IF(W49="SÍ","Stock parece sano pero "&amp;TEXT(L49,"#,##0")&amp;" kg no pasan filtro "&amp;Stock_Seguridad!O49&amp;": sin ellos queda bajo el SS para esa cadena. ","")&amp;IF(E49="SOBRE MAX VENDIBLE","Sobrestock vs vida útil: frenar producción/activar venta. ","")&amp;IF(N(N49)&gt;=Parametros!$B$17,TEXT(N49,"#,##0")&amp;" kg ya no los acepta ninguna cadena: venta intermedia/liquidación. ","")&amp;IF(N(M49)&gt;=Parametros!$B$17,TEXT(M49,"#,##0")&amp;" kg a punto de salir del filtro: despachar primero (FEFO). ","")&amp;IF(Y49="SÍ","Pedidos "&amp;IF(N(U49)&gt;0,"sobre","bajo")&amp;" FCST "&amp;TEXT(ABS(N(U49)),"0%")&amp;": revisar forecast con KAM.","")</f>
        <v/>
      </c>
    </row>
    <row r="50" customFormat="false" ht="15" hidden="false" customHeight="false" outlineLevel="0" collapsed="false">
      <c r="A50" s="18" t="n">
        <f aca="false">Stock_Seguridad!A50</f>
        <v>30001574</v>
      </c>
      <c r="B50" s="18" t="str">
        <f aca="false">Stock_Seguridad!B50</f>
        <v>YOGU YOGU ORIGINAL MORA LV 12x1LT</v>
      </c>
      <c r="C50" s="18" t="str">
        <f aca="false">Stock_Seguridad!C50</f>
        <v>LECHES LIQUIDAS</v>
      </c>
      <c r="D50" s="18" t="str">
        <f aca="false">Stock_Seguridad!F50</f>
        <v>BX</v>
      </c>
      <c r="E50" s="19" t="str">
        <f aca="false">Stock_Seguridad!X50</f>
        <v>OK</v>
      </c>
      <c r="F50" s="20" t="n">
        <f aca="false">Stock_Seguridad!W50</f>
        <v>2.57811405352389</v>
      </c>
      <c r="G50" s="21" t="n">
        <f aca="false">Stock_Seguridad!T50</f>
        <v>16560</v>
      </c>
      <c r="H50" s="21" t="n">
        <f aca="false">Stock_Seguridad!R50</f>
        <v>3745.55612980386</v>
      </c>
      <c r="I50" s="21" t="n">
        <f aca="false">Stock_Seguridad!S50</f>
        <v>10168.8561298039</v>
      </c>
      <c r="J50" s="21" t="n">
        <f aca="false">Stock_Seguridad!U50</f>
        <v>0</v>
      </c>
      <c r="K50" s="22"/>
      <c r="L50" s="23" t="n">
        <v>0</v>
      </c>
      <c r="M50" s="23" t="n">
        <v>4188</v>
      </c>
      <c r="N50" s="23" t="n">
        <v>0</v>
      </c>
      <c r="O50" s="24" t="n">
        <v>0.147879448075527</v>
      </c>
      <c r="P50" s="24" t="n">
        <f aca="false">IF(ISNUMBER(Stock_Seguridad!N50),Stock_Seguridad!N50,"")</f>
        <v>0.273469387755102</v>
      </c>
      <c r="Q50" s="24" t="n">
        <f aca="false">IF(AND(ISNUMBER(O50),ISNUMBER(P50)),P50-O50,"")</f>
        <v>0.125589939679576</v>
      </c>
      <c r="R50" s="23" t="n">
        <f aca="false">MAX(0,G50-N(L50))</f>
        <v>16560</v>
      </c>
      <c r="S50" s="23" t="n">
        <f aca="false">SUMIFS(Cadenas_vs_FCST!$D$17:$D$652,Cadenas_vs_FCST!$A$17:$A$652,A50)</f>
        <v>24792</v>
      </c>
      <c r="T50" s="23" t="n">
        <f aca="false">SUMIFS(Cadenas_vs_FCST!$E$17:$E$652,Cadenas_vs_FCST!$A$17:$A$652,A50)</f>
        <v>25243.0069387273</v>
      </c>
      <c r="U50" s="24" t="n">
        <f aca="false">IF(T50&gt;0,S50/T50-1,"")</f>
        <v>-0.0178666091492994</v>
      </c>
      <c r="V50" s="3" t="str">
        <f aca="false">IF(OR(E50="BAJO SS",E50="BAJO SS (XLIB CUBRE)"),"SÍ","")</f>
        <v/>
      </c>
      <c r="W50" s="3" t="str">
        <f aca="false">IF(AND(V50="",N(L50)&gt;=Parametros!$B$17,G50&gt;=H50,R50&lt;H50),"SÍ","")</f>
        <v/>
      </c>
      <c r="X50" s="3" t="str">
        <f aca="false">IF(OR(E50="SOBRE MAX VENDIBLE",N(N50)&gt;=Parametros!$B$17,N(M50)&gt;=Parametros!$B$17),"SÍ","")</f>
        <v>SÍ</v>
      </c>
      <c r="Y50" s="3" t="str">
        <f aca="false">IF(AND(ISNUMBER(U50),MAX(S50,T50)&gt;=Parametros!$B$15,ABS(N(U50))&gt;Parametros!$B$14),"SÍ","")</f>
        <v/>
      </c>
      <c r="Z50" s="3" t="n">
        <f aca="false">COUNTIF(V50:Y50,"SÍ")</f>
        <v>1</v>
      </c>
      <c r="AA50" s="3" t="n">
        <f aca="false">(3*(V50="SÍ")+2*(W50="SÍ")+2*(X50="SÍ")+(Y50="SÍ"))*IF(LEFT(D50,1)="A",3,IF(OR(LEFT(D50,1)="B",D50="SIN HIST"),2,1))</f>
        <v>4</v>
      </c>
      <c r="AB50" s="3" t="str">
        <f aca="false">IF(AA50&gt;=9,"1-ALTA",IF(AA50&gt;=4,"2-MEDIA",IF(AA50&gt;0,"3-BAJA","")))</f>
        <v>2-MEDIA</v>
      </c>
      <c r="AC50" s="3" t="str">
        <f aca="false">IF(E50="BAJO SS","Stock + XLIB bajo el SS: riesgo real de quiebre, adelantar producción. ","")&amp;IF(E50="BAJO SS (XLIB CUBRE)","Disponible bajo el SS; depende de liberar "&amp;TEXT(J50,"#,##0")&amp;" kg"&amp;IF(ISNUMBER(K50)," el "&amp;TEXT(K50,"dd-mm"),"")&amp;". ","")&amp;IF(W50="SÍ","Stock parece sano pero "&amp;TEXT(L50,"#,##0")&amp;" kg no pasan filtro "&amp;Stock_Seguridad!O50&amp;": sin ellos queda bajo el SS para esa cadena. ","")&amp;IF(E50="SOBRE MAX VENDIBLE","Sobrestock vs vida útil: frenar producción/activar venta. ","")&amp;IF(N(N50)&gt;=Parametros!$B$17,TEXT(N50,"#,##0")&amp;" kg ya no los acepta ninguna cadena: venta intermedia/liquidación. ","")&amp;IF(N(M50)&gt;=Parametros!$B$17,TEXT(M50,"#,##0")&amp;" kg a punto de salir del filtro: despachar primero (FEFO). ","")&amp;IF(Y50="SÍ","Pedidos "&amp;IF(N(U50)&gt;0,"sobre","bajo")&amp;" FCST "&amp;TEXT(ABS(N(U50)),"0%")&amp;": revisar forecast con KAM.","")</f>
        <v>4,188 kg a punto de salir del filtro: despachar primero (FEFO). </v>
      </c>
    </row>
    <row r="51" customFormat="false" ht="15" hidden="false" customHeight="false" outlineLevel="0" collapsed="false">
      <c r="A51" s="18" t="n">
        <f aca="false">Stock_Seguridad!A51</f>
        <v>30001923</v>
      </c>
      <c r="B51" s="18" t="str">
        <f aca="false">Stock_Seguridad!B51</f>
        <v>JUGO 100% WATTS NRJA-MZNA LV 30X200ML</v>
      </c>
      <c r="C51" s="18" t="str">
        <f aca="false">Stock_Seguridad!C51</f>
        <v>JUGOS Y NECTARES</v>
      </c>
      <c r="D51" s="18" t="str">
        <f aca="false">Stock_Seguridad!F51</f>
        <v>BY</v>
      </c>
      <c r="E51" s="19" t="str">
        <f aca="false">Stock_Seguridad!X51</f>
        <v>OK</v>
      </c>
      <c r="F51" s="20" t="n">
        <f aca="false">Stock_Seguridad!W51</f>
        <v>1.87001549376172</v>
      </c>
      <c r="G51" s="21" t="n">
        <f aca="false">Stock_Seguridad!T51</f>
        <v>10602</v>
      </c>
      <c r="H51" s="21" t="n">
        <f aca="false">Stock_Seguridad!R51</f>
        <v>2391.70339389455</v>
      </c>
      <c r="I51" s="21" t="n">
        <f aca="false">Stock_Seguridad!S51</f>
        <v>8523.20339389456</v>
      </c>
      <c r="J51" s="21" t="n">
        <f aca="false">Stock_Seguridad!U51</f>
        <v>864</v>
      </c>
      <c r="K51" s="22" t="n">
        <v>46320</v>
      </c>
      <c r="L51" s="23" t="n">
        <v>936</v>
      </c>
      <c r="M51" s="23" t="n">
        <v>0</v>
      </c>
      <c r="N51" s="23" t="n">
        <v>48</v>
      </c>
      <c r="O51" s="24" t="n">
        <v>0.086567242281528</v>
      </c>
      <c r="P51" s="24" t="n">
        <f aca="false">IF(ISNUMBER(Stock_Seguridad!N51),Stock_Seguridad!N51,"")</f>
        <v>0.190217391304348</v>
      </c>
      <c r="Q51" s="24" t="n">
        <f aca="false">IF(AND(ISNUMBER(O51),ISNUMBER(P51)),P51-O51,"")</f>
        <v>0.10365014902282</v>
      </c>
      <c r="R51" s="23" t="n">
        <f aca="false">MAX(0,G51-N(L51))</f>
        <v>9666</v>
      </c>
      <c r="S51" s="23" t="n">
        <f aca="false">SUMIFS(Cadenas_vs_FCST!$D$17:$D$652,Cadenas_vs_FCST!$A$17:$A$652,A51)</f>
        <v>28890</v>
      </c>
      <c r="T51" s="23" t="n">
        <f aca="false">SUMIFS(Cadenas_vs_FCST!$E$17:$E$652,Cadenas_vs_FCST!$A$17:$A$652,A51)</f>
        <v>30396.6028849725</v>
      </c>
      <c r="U51" s="24" t="n">
        <f aca="false">IF(T51&gt;0,S51/T51-1,"")</f>
        <v>-0.0495648441595212</v>
      </c>
      <c r="V51" s="3" t="str">
        <f aca="false">IF(OR(E51="BAJO SS",E51="BAJO SS (XLIB CUBRE)"),"SÍ","")</f>
        <v/>
      </c>
      <c r="W51" s="3" t="str">
        <f aca="false">IF(AND(V51="",N(L51)&gt;=Parametros!$B$17,G51&gt;=H51,R51&lt;H51),"SÍ","")</f>
        <v/>
      </c>
      <c r="X51" s="3" t="str">
        <f aca="false">IF(OR(E51="SOBRE MAX VENDIBLE",N(N51)&gt;=Parametros!$B$17,N(M51)&gt;=Parametros!$B$17),"SÍ","")</f>
        <v/>
      </c>
      <c r="Y51" s="3" t="str">
        <f aca="false">IF(AND(ISNUMBER(U51),MAX(S51,T51)&gt;=Parametros!$B$15,ABS(N(U51))&gt;Parametros!$B$14),"SÍ","")</f>
        <v/>
      </c>
      <c r="Z51" s="3" t="n">
        <f aca="false">COUNTIF(V51:Y51,"SÍ")</f>
        <v>0</v>
      </c>
      <c r="AA51" s="3" t="n">
        <f aca="false">(3*(V51="SÍ")+2*(W51="SÍ")+2*(X51="SÍ")+(Y51="SÍ"))*IF(LEFT(D51,1)="A",3,IF(OR(LEFT(D51,1)="B",D51="SIN HIST"),2,1))</f>
        <v>0</v>
      </c>
      <c r="AB51" s="3" t="str">
        <f aca="false">IF(AA51&gt;=9,"1-ALTA",IF(AA51&gt;=4,"2-MEDIA",IF(AA51&gt;0,"3-BAJA","")))</f>
        <v/>
      </c>
      <c r="AC51" s="3" t="str">
        <f aca="false">IF(E51="BAJO SS","Stock + XLIB bajo el SS: riesgo real de quiebre, adelantar producción. ","")&amp;IF(E51="BAJO SS (XLIB CUBRE)","Disponible bajo el SS; depende de liberar "&amp;TEXT(J51,"#,##0")&amp;" kg"&amp;IF(ISNUMBER(K51)," el "&amp;TEXT(K51,"dd-mm"),"")&amp;". ","")&amp;IF(W51="SÍ","Stock parece sano pero "&amp;TEXT(L51,"#,##0")&amp;" kg no pasan filtro "&amp;Stock_Seguridad!O51&amp;": sin ellos queda bajo el SS para esa cadena. ","")&amp;IF(E51="SOBRE MAX VENDIBLE","Sobrestock vs vida útil: frenar producción/activar venta. ","")&amp;IF(N(N51)&gt;=Parametros!$B$17,TEXT(N51,"#,##0")&amp;" kg ya no los acepta ninguna cadena: venta intermedia/liquidación. ","")&amp;IF(N(M51)&gt;=Parametros!$B$17,TEXT(M51,"#,##0")&amp;" kg a punto de salir del filtro: despachar primero (FEFO). ","")&amp;IF(Y51="SÍ","Pedidos "&amp;IF(N(U51)&gt;0,"sobre","bajo")&amp;" FCST "&amp;TEXT(ABS(N(U51)),"0%")&amp;": revisar forecast con KAM.","")</f>
        <v/>
      </c>
    </row>
    <row r="52" customFormat="false" ht="15" hidden="false" customHeight="false" outlineLevel="0" collapsed="false">
      <c r="A52" s="18" t="n">
        <f aca="false">Stock_Seguridad!A52</f>
        <v>30001895</v>
      </c>
      <c r="B52" s="18" t="str">
        <f aca="false">Stock_Seguridad!B52</f>
        <v>LECHE POLVO LONCO DESCREMADA 20X760GR</v>
      </c>
      <c r="C52" s="18" t="str">
        <f aca="false">Stock_Seguridad!C52</f>
        <v>LECHES EN POLVO</v>
      </c>
      <c r="D52" s="18" t="str">
        <f aca="false">Stock_Seguridad!F52</f>
        <v>BY</v>
      </c>
      <c r="E52" s="19" t="str">
        <f aca="false">Stock_Seguridad!X52</f>
        <v>OK</v>
      </c>
      <c r="F52" s="20" t="n">
        <f aca="false">Stock_Seguridad!W52</f>
        <v>4.73702970944587</v>
      </c>
      <c r="G52" s="21" t="n">
        <f aca="false">Stock_Seguridad!T52</f>
        <v>28971.2</v>
      </c>
      <c r="H52" s="21" t="n">
        <f aca="false">Stock_Seguridad!R52</f>
        <v>4344.0921415835</v>
      </c>
      <c r="I52" s="21" t="n">
        <f aca="false">Stock_Seguridad!S52</f>
        <v>10459.9921415835</v>
      </c>
      <c r="J52" s="21" t="n">
        <f aca="false">Stock_Seguridad!U52</f>
        <v>0</v>
      </c>
      <c r="K52" s="22"/>
      <c r="L52" s="23" t="n">
        <v>380</v>
      </c>
      <c r="M52" s="23" t="n">
        <v>0</v>
      </c>
      <c r="N52" s="23" t="n">
        <v>0</v>
      </c>
      <c r="O52" s="24" t="n">
        <v>0.0362920168067227</v>
      </c>
      <c r="P52" s="24" t="n">
        <f aca="false">IF(ISNUMBER(Stock_Seguridad!N52),Stock_Seguridad!N52,"")</f>
        <v>0.197080291970803</v>
      </c>
      <c r="Q52" s="24" t="n">
        <f aca="false">IF(AND(ISNUMBER(O52),ISNUMBER(P52)),P52-O52,"")</f>
        <v>0.16078827516408</v>
      </c>
      <c r="R52" s="23" t="n">
        <f aca="false">MAX(0,G52-N(L52))</f>
        <v>28591.2</v>
      </c>
      <c r="S52" s="23" t="n">
        <f aca="false">SUMIFS(Cadenas_vs_FCST!$D$17:$D$652,Cadenas_vs_FCST!$A$17:$A$652,A52)</f>
        <v>18908.8</v>
      </c>
      <c r="T52" s="23" t="n">
        <f aca="false">SUMIFS(Cadenas_vs_FCST!$E$17:$E$652,Cadenas_vs_FCST!$A$17:$A$652,A52)</f>
        <v>25675.1143080687</v>
      </c>
      <c r="U52" s="24" t="n">
        <f aca="false">IF(T52&gt;0,S52/T52-1,"")</f>
        <v>-0.26353589810279</v>
      </c>
      <c r="V52" s="3" t="str">
        <f aca="false">IF(OR(E52="BAJO SS",E52="BAJO SS (XLIB CUBRE)"),"SÍ","")</f>
        <v/>
      </c>
      <c r="W52" s="3" t="str">
        <f aca="false">IF(AND(V52="",N(L52)&gt;=Parametros!$B$17,G52&gt;=H52,R52&lt;H52),"SÍ","")</f>
        <v/>
      </c>
      <c r="X52" s="3" t="str">
        <f aca="false">IF(OR(E52="SOBRE MAX VENDIBLE",N(N52)&gt;=Parametros!$B$17,N(M52)&gt;=Parametros!$B$17),"SÍ","")</f>
        <v/>
      </c>
      <c r="Y52" s="3" t="str">
        <f aca="false">IF(AND(ISNUMBER(U52),MAX(S52,T52)&gt;=Parametros!$B$15,ABS(N(U52))&gt;Parametros!$B$14),"SÍ","")</f>
        <v>SÍ</v>
      </c>
      <c r="Z52" s="3" t="n">
        <f aca="false">COUNTIF(V52:Y52,"SÍ")</f>
        <v>1</v>
      </c>
      <c r="AA52" s="3" t="n">
        <f aca="false">(3*(V52="SÍ")+2*(W52="SÍ")+2*(X52="SÍ")+(Y52="SÍ"))*IF(LEFT(D52,1)="A",3,IF(OR(LEFT(D52,1)="B",D52="SIN HIST"),2,1))</f>
        <v>2</v>
      </c>
      <c r="AB52" s="3" t="str">
        <f aca="false">IF(AA52&gt;=9,"1-ALTA",IF(AA52&gt;=4,"2-MEDIA",IF(AA52&gt;0,"3-BAJA","")))</f>
        <v>3-BAJA</v>
      </c>
      <c r="AC52" s="3" t="str">
        <f aca="false">IF(E52="BAJO SS","Stock + XLIB bajo el SS: riesgo real de quiebre, adelantar producción. ","")&amp;IF(E52="BAJO SS (XLIB CUBRE)","Disponible bajo el SS; depende de liberar "&amp;TEXT(J52,"#,##0")&amp;" kg"&amp;IF(ISNUMBER(K52)," el "&amp;TEXT(K52,"dd-mm"),"")&amp;". ","")&amp;IF(W52="SÍ","Stock parece sano pero "&amp;TEXT(L52,"#,##0")&amp;" kg no pasan filtro "&amp;Stock_Seguridad!O52&amp;": sin ellos queda bajo el SS para esa cadena. ","")&amp;IF(E52="SOBRE MAX VENDIBLE","Sobrestock vs vida útil: frenar producción/activar venta. ","")&amp;IF(N(N52)&gt;=Parametros!$B$17,TEXT(N52,"#,##0")&amp;" kg ya no los acepta ninguna cadena: venta intermedia/liquidación. ","")&amp;IF(N(M52)&gt;=Parametros!$B$17,TEXT(M52,"#,##0")&amp;" kg a punto de salir del filtro: despachar primero (FEFO). ","")&amp;IF(Y52="SÍ","Pedidos "&amp;IF(N(U52)&gt;0,"sobre","bajo")&amp;" FCST "&amp;TEXT(ABS(N(U52)),"0%")&amp;": revisar forecast con KAM.","")</f>
        <v>Pedidos bajo FCST 26%: revisar forecast con KAM.</v>
      </c>
    </row>
    <row r="53" customFormat="false" ht="15" hidden="false" customHeight="false" outlineLevel="0" collapsed="false">
      <c r="A53" s="18" t="n">
        <f aca="false">Stock_Seguridad!A53</f>
        <v>30000328</v>
      </c>
      <c r="B53" s="18" t="str">
        <f aca="false">Stock_Seguridad!B53</f>
        <v>LECHE LONCO S/LACTOSA CHOCO 12X1LT</v>
      </c>
      <c r="C53" s="18" t="str">
        <f aca="false">Stock_Seguridad!C53</f>
        <v>LECHES LIQUIDAS</v>
      </c>
      <c r="D53" s="18" t="str">
        <f aca="false">Stock_Seguridad!F53</f>
        <v>BX</v>
      </c>
      <c r="E53" s="19" t="str">
        <f aca="false">Stock_Seguridad!X53</f>
        <v>OK</v>
      </c>
      <c r="F53" s="20" t="n">
        <f aca="false">Stock_Seguridad!W53</f>
        <v>2.31203284211904</v>
      </c>
      <c r="G53" s="21" t="n">
        <f aca="false">Stock_Seguridad!T53</f>
        <v>14136</v>
      </c>
      <c r="H53" s="21" t="n">
        <f aca="false">Stock_Seguridad!R53</f>
        <v>3414.00363426534</v>
      </c>
      <c r="I53" s="21" t="n">
        <f aca="false">Stock_Seguridad!S53</f>
        <v>9528.10363426534</v>
      </c>
      <c r="J53" s="21" t="n">
        <f aca="false">Stock_Seguridad!U53</f>
        <v>0</v>
      </c>
      <c r="K53" s="22"/>
      <c r="L53" s="23" t="n">
        <v>2016</v>
      </c>
      <c r="M53" s="23" t="n">
        <v>0</v>
      </c>
      <c r="N53" s="23" t="n">
        <v>228</v>
      </c>
      <c r="O53" s="24" t="n">
        <v>0.18196261682243</v>
      </c>
      <c r="P53" s="24" t="n">
        <f aca="false">IF(ISNUMBER(Stock_Seguridad!N53),Stock_Seguridad!N53,"")</f>
        <v>0.259259259259259</v>
      </c>
      <c r="Q53" s="24" t="n">
        <f aca="false">IF(AND(ISNUMBER(O53),ISNUMBER(P53)),P53-O53,"")</f>
        <v>0.0772966424368294</v>
      </c>
      <c r="R53" s="23" t="n">
        <f aca="false">MAX(0,G53-N(L53))</f>
        <v>12120</v>
      </c>
      <c r="S53" s="23" t="n">
        <f aca="false">SUMIFS(Cadenas_vs_FCST!$D$17:$D$652,Cadenas_vs_FCST!$A$17:$A$652,A53)</f>
        <v>21840</v>
      </c>
      <c r="T53" s="23" t="n">
        <f aca="false">SUMIFS(Cadenas_vs_FCST!$E$17:$E$652,Cadenas_vs_FCST!$A$17:$A$652,A53)</f>
        <v>26225.3711433318</v>
      </c>
      <c r="U53" s="24" t="n">
        <f aca="false">IF(T53&gt;0,S53/T53-1,"")</f>
        <v>-0.16721864942784</v>
      </c>
      <c r="V53" s="3" t="str">
        <f aca="false">IF(OR(E53="BAJO SS",E53="BAJO SS (XLIB CUBRE)"),"SÍ","")</f>
        <v/>
      </c>
      <c r="W53" s="3" t="str">
        <f aca="false">IF(AND(V53="",N(L53)&gt;=Parametros!$B$17,G53&gt;=H53,R53&lt;H53),"SÍ","")</f>
        <v/>
      </c>
      <c r="X53" s="3" t="str">
        <f aca="false">IF(OR(E53="SOBRE MAX VENDIBLE",N(N53)&gt;=Parametros!$B$17,N(M53)&gt;=Parametros!$B$17),"SÍ","")</f>
        <v/>
      </c>
      <c r="Y53" s="3" t="str">
        <f aca="false">IF(AND(ISNUMBER(U53),MAX(S53,T53)&gt;=Parametros!$B$15,ABS(N(U53))&gt;Parametros!$B$14),"SÍ","")</f>
        <v/>
      </c>
      <c r="Z53" s="3" t="n">
        <f aca="false">COUNTIF(V53:Y53,"SÍ")</f>
        <v>0</v>
      </c>
      <c r="AA53" s="3" t="n">
        <f aca="false">(3*(V53="SÍ")+2*(W53="SÍ")+2*(X53="SÍ")+(Y53="SÍ"))*IF(LEFT(D53,1)="A",3,IF(OR(LEFT(D53,1)="B",D53="SIN HIST"),2,1))</f>
        <v>0</v>
      </c>
      <c r="AB53" s="3" t="str">
        <f aca="false">IF(AA53&gt;=9,"1-ALTA",IF(AA53&gt;=4,"2-MEDIA",IF(AA53&gt;0,"3-BAJA","")))</f>
        <v/>
      </c>
      <c r="AC53" s="3" t="str">
        <f aca="false">IF(E53="BAJO SS","Stock + XLIB bajo el SS: riesgo real de quiebre, adelantar producción. ","")&amp;IF(E53="BAJO SS (XLIB CUBRE)","Disponible bajo el SS; depende de liberar "&amp;TEXT(J53,"#,##0")&amp;" kg"&amp;IF(ISNUMBER(K53)," el "&amp;TEXT(K53,"dd-mm"),"")&amp;". ","")&amp;IF(W53="SÍ","Stock parece sano pero "&amp;TEXT(L53,"#,##0")&amp;" kg no pasan filtro "&amp;Stock_Seguridad!O53&amp;": sin ellos queda bajo el SS para esa cadena. ","")&amp;IF(E53="SOBRE MAX VENDIBLE","Sobrestock vs vida útil: frenar producción/activar venta. ","")&amp;IF(N(N53)&gt;=Parametros!$B$17,TEXT(N53,"#,##0")&amp;" kg ya no los acepta ninguna cadena: venta intermedia/liquidación. ","")&amp;IF(N(M53)&gt;=Parametros!$B$17,TEXT(M53,"#,##0")&amp;" kg a punto de salir del filtro: despachar primero (FEFO). ","")&amp;IF(Y53="SÍ","Pedidos "&amp;IF(N(U53)&gt;0,"sobre","bajo")&amp;" FCST "&amp;TEXT(ABS(N(U53)),"0%")&amp;": revisar forecast con KAM.","")</f>
        <v/>
      </c>
    </row>
    <row r="54" customFormat="false" ht="15" hidden="false" customHeight="false" outlineLevel="0" collapsed="false">
      <c r="A54" s="18" t="n">
        <f aca="false">Stock_Seguridad!A54</f>
        <v>30001487</v>
      </c>
      <c r="B54" s="18" t="str">
        <f aca="false">Stock_Seguridad!B54</f>
        <v>JUGO 100% WATTS MZNA LV 30X200ML</v>
      </c>
      <c r="C54" s="18" t="str">
        <f aca="false">Stock_Seguridad!C54</f>
        <v>JUGOS Y NECTARES</v>
      </c>
      <c r="D54" s="18" t="str">
        <f aca="false">Stock_Seguridad!F54</f>
        <v>BX</v>
      </c>
      <c r="E54" s="19" t="str">
        <f aca="false">Stock_Seguridad!X54</f>
        <v>OK</v>
      </c>
      <c r="F54" s="20" t="n">
        <f aca="false">Stock_Seguridad!W54</f>
        <v>4.0527788354883</v>
      </c>
      <c r="G54" s="21" t="n">
        <f aca="false">Stock_Seguridad!T54</f>
        <v>11316</v>
      </c>
      <c r="H54" s="21" t="n">
        <f aca="false">Stock_Seguridad!R54</f>
        <v>3645.71871546868</v>
      </c>
      <c r="I54" s="21" t="n">
        <f aca="false">Stock_Seguridad!S54</f>
        <v>9686.01871546868</v>
      </c>
      <c r="J54" s="21" t="n">
        <f aca="false">Stock_Seguridad!U54</f>
        <v>13164</v>
      </c>
      <c r="K54" s="22" t="n">
        <v>46318</v>
      </c>
      <c r="L54" s="23" t="n">
        <v>30</v>
      </c>
      <c r="M54" s="23" t="n">
        <v>246</v>
      </c>
      <c r="N54" s="23" t="n">
        <v>0</v>
      </c>
      <c r="O54" s="24" t="n">
        <v>0.0503341523341523</v>
      </c>
      <c r="P54" s="24" t="n">
        <f aca="false">IF(ISNUMBER(Stock_Seguridad!N54),Stock_Seguridad!N54,"")</f>
        <v>0.311111111111111</v>
      </c>
      <c r="Q54" s="24" t="n">
        <f aca="false">IF(AND(ISNUMBER(O54),ISNUMBER(P54)),P54-O54,"")</f>
        <v>0.260776958776959</v>
      </c>
      <c r="R54" s="23" t="n">
        <f aca="false">MAX(0,G54-N(L54))</f>
        <v>11286</v>
      </c>
      <c r="S54" s="23" t="n">
        <f aca="false">SUMIFS(Cadenas_vs_FCST!$D$17:$D$652,Cadenas_vs_FCST!$A$17:$A$652,A54)</f>
        <v>26442</v>
      </c>
      <c r="T54" s="23" t="n">
        <f aca="false">SUMIFS(Cadenas_vs_FCST!$E$17:$E$652,Cadenas_vs_FCST!$A$17:$A$652,A54)</f>
        <v>23999.773722626</v>
      </c>
      <c r="U54" s="24" t="n">
        <f aca="false">IF(T54&gt;0,S54/T54-1,"")</f>
        <v>0.101760387643637</v>
      </c>
      <c r="V54" s="3" t="str">
        <f aca="false">IF(OR(E54="BAJO SS",E54="BAJO SS (XLIB CUBRE)"),"SÍ","")</f>
        <v/>
      </c>
      <c r="W54" s="3" t="str">
        <f aca="false">IF(AND(V54="",N(L54)&gt;=Parametros!$B$17,G54&gt;=H54,R54&lt;H54),"SÍ","")</f>
        <v/>
      </c>
      <c r="X54" s="3" t="str">
        <f aca="false">IF(OR(E54="SOBRE MAX VENDIBLE",N(N54)&gt;=Parametros!$B$17,N(M54)&gt;=Parametros!$B$17),"SÍ","")</f>
        <v/>
      </c>
      <c r="Y54" s="3" t="str">
        <f aca="false">IF(AND(ISNUMBER(U54),MAX(S54,T54)&gt;=Parametros!$B$15,ABS(N(U54))&gt;Parametros!$B$14),"SÍ","")</f>
        <v/>
      </c>
      <c r="Z54" s="3" t="n">
        <f aca="false">COUNTIF(V54:Y54,"SÍ")</f>
        <v>0</v>
      </c>
      <c r="AA54" s="3" t="n">
        <f aca="false">(3*(V54="SÍ")+2*(W54="SÍ")+2*(X54="SÍ")+(Y54="SÍ"))*IF(LEFT(D54,1)="A",3,IF(OR(LEFT(D54,1)="B",D54="SIN HIST"),2,1))</f>
        <v>0</v>
      </c>
      <c r="AB54" s="3" t="str">
        <f aca="false">IF(AA54&gt;=9,"1-ALTA",IF(AA54&gt;=4,"2-MEDIA",IF(AA54&gt;0,"3-BAJA","")))</f>
        <v/>
      </c>
      <c r="AC54" s="3" t="str">
        <f aca="false">IF(E54="BAJO SS","Stock + XLIB bajo el SS: riesgo real de quiebre, adelantar producción. ","")&amp;IF(E54="BAJO SS (XLIB CUBRE)","Disponible bajo el SS; depende de liberar "&amp;TEXT(J54,"#,##0")&amp;" kg"&amp;IF(ISNUMBER(K54)," el "&amp;TEXT(K54,"dd-mm"),"")&amp;". ","")&amp;IF(W54="SÍ","Stock parece sano pero "&amp;TEXT(L54,"#,##0")&amp;" kg no pasan filtro "&amp;Stock_Seguridad!O54&amp;": sin ellos queda bajo el SS para esa cadena. ","")&amp;IF(E54="SOBRE MAX VENDIBLE","Sobrestock vs vida útil: frenar producción/activar venta. ","")&amp;IF(N(N54)&gt;=Parametros!$B$17,TEXT(N54,"#,##0")&amp;" kg ya no los acepta ninguna cadena: venta intermedia/liquidación. ","")&amp;IF(N(M54)&gt;=Parametros!$B$17,TEXT(M54,"#,##0")&amp;" kg a punto de salir del filtro: despachar primero (FEFO). ","")&amp;IF(Y54="SÍ","Pedidos "&amp;IF(N(U54)&gt;0,"sobre","bajo")&amp;" FCST "&amp;TEXT(ABS(N(U54)),"0%")&amp;": revisar forecast con KAM.","")</f>
        <v/>
      </c>
    </row>
    <row r="55" customFormat="false" ht="15" hidden="false" customHeight="false" outlineLevel="0" collapsed="false">
      <c r="A55" s="18" t="n">
        <f aca="false">Stock_Seguridad!A55</f>
        <v>30002098</v>
      </c>
      <c r="B55" s="18" t="str">
        <f aca="false">Stock_Seguridad!B55</f>
        <v>MANJAR LONCOLECHE DP 12X750GR</v>
      </c>
      <c r="C55" s="18" t="str">
        <f aca="false">Stock_Seguridad!C55</f>
        <v>MANJAR</v>
      </c>
      <c r="D55" s="18" t="str">
        <f aca="false">Stock_Seguridad!F55</f>
        <v>CX</v>
      </c>
      <c r="E55" s="19" t="str">
        <f aca="false">Stock_Seguridad!X55</f>
        <v>OK</v>
      </c>
      <c r="F55" s="20" t="n">
        <f aca="false">Stock_Seguridad!W55</f>
        <v>2.95388716126166</v>
      </c>
      <c r="G55" s="21" t="n">
        <f aca="false">Stock_Seguridad!T55</f>
        <v>16623</v>
      </c>
      <c r="H55" s="21" t="n">
        <f aca="false">Stock_Seguridad!R55</f>
        <v>1696.61475744551</v>
      </c>
      <c r="I55" s="21" t="n">
        <f aca="false">Stock_Seguridad!S55</f>
        <v>7324.11475744551</v>
      </c>
      <c r="J55" s="21" t="n">
        <f aca="false">Stock_Seguridad!U55</f>
        <v>0</v>
      </c>
      <c r="K55" s="22"/>
      <c r="L55" s="23" t="n">
        <v>6345</v>
      </c>
      <c r="M55" s="23" t="n">
        <v>0</v>
      </c>
      <c r="N55" s="23" t="n">
        <v>45</v>
      </c>
      <c r="O55" s="24" t="n">
        <v>0.148132106118029</v>
      </c>
      <c r="P55" s="24" t="n">
        <f aca="false">IF(ISNUMBER(Stock_Seguridad!N55),Stock_Seguridad!N55,"")</f>
        <v>0.190217391304348</v>
      </c>
      <c r="Q55" s="24" t="n">
        <f aca="false">IF(AND(ISNUMBER(O55),ISNUMBER(P55)),P55-O55,"")</f>
        <v>0.0420852851863186</v>
      </c>
      <c r="R55" s="23" t="n">
        <f aca="false">MAX(0,G55-N(L55))</f>
        <v>10278</v>
      </c>
      <c r="S55" s="23" t="n">
        <f aca="false">SUMIFS(Cadenas_vs_FCST!$D$17:$D$652,Cadenas_vs_FCST!$A$17:$A$652,A55)</f>
        <v>10602</v>
      </c>
      <c r="T55" s="23" t="n">
        <f aca="false">SUMIFS(Cadenas_vs_FCST!$E$17:$E$652,Cadenas_vs_FCST!$A$17:$A$652,A55)</f>
        <v>15603.6915907113</v>
      </c>
      <c r="U55" s="24" t="n">
        <f aca="false">IF(T55&gt;0,S55/T55-1,"")</f>
        <v>-0.320545401813039</v>
      </c>
      <c r="V55" s="3" t="str">
        <f aca="false">IF(OR(E55="BAJO SS",E55="BAJO SS (XLIB CUBRE)"),"SÍ","")</f>
        <v/>
      </c>
      <c r="W55" s="3" t="str">
        <f aca="false">IF(AND(V55="",N(L55)&gt;=Parametros!$B$17,G55&gt;=H55,R55&lt;H55),"SÍ","")</f>
        <v/>
      </c>
      <c r="X55" s="3" t="str">
        <f aca="false">IF(OR(E55="SOBRE MAX VENDIBLE",N(N55)&gt;=Parametros!$B$17,N(M55)&gt;=Parametros!$B$17),"SÍ","")</f>
        <v/>
      </c>
      <c r="Y55" s="3" t="str">
        <f aca="false">IF(AND(ISNUMBER(U55),MAX(S55,T55)&gt;=Parametros!$B$15,ABS(N(U55))&gt;Parametros!$B$14),"SÍ","")</f>
        <v>SÍ</v>
      </c>
      <c r="Z55" s="3" t="n">
        <f aca="false">COUNTIF(V55:Y55,"SÍ")</f>
        <v>1</v>
      </c>
      <c r="AA55" s="3" t="n">
        <f aca="false">(3*(V55="SÍ")+2*(W55="SÍ")+2*(X55="SÍ")+(Y55="SÍ"))*IF(LEFT(D55,1)="A",3,IF(OR(LEFT(D55,1)="B",D55="SIN HIST"),2,1))</f>
        <v>1</v>
      </c>
      <c r="AB55" s="3" t="str">
        <f aca="false">IF(AA55&gt;=9,"1-ALTA",IF(AA55&gt;=4,"2-MEDIA",IF(AA55&gt;0,"3-BAJA","")))</f>
        <v>3-BAJA</v>
      </c>
      <c r="AC55" s="3" t="str">
        <f aca="false">IF(E55="BAJO SS","Stock + XLIB bajo el SS: riesgo real de quiebre, adelantar producción. ","")&amp;IF(E55="BAJO SS (XLIB CUBRE)","Disponible bajo el SS; depende de liberar "&amp;TEXT(J55,"#,##0")&amp;" kg"&amp;IF(ISNUMBER(K55)," el "&amp;TEXT(K55,"dd-mm"),"")&amp;". ","")&amp;IF(W55="SÍ","Stock parece sano pero "&amp;TEXT(L55,"#,##0")&amp;" kg no pasan filtro "&amp;Stock_Seguridad!O55&amp;": sin ellos queda bajo el SS para esa cadena. ","")&amp;IF(E55="SOBRE MAX VENDIBLE","Sobrestock vs vida útil: frenar producción/activar venta. ","")&amp;IF(N(N55)&gt;=Parametros!$B$17,TEXT(N55,"#,##0")&amp;" kg ya no los acepta ninguna cadena: venta intermedia/liquidación. ","")&amp;IF(N(M55)&gt;=Parametros!$B$17,TEXT(M55,"#,##0")&amp;" kg a punto de salir del filtro: despachar primero (FEFO). ","")&amp;IF(Y55="SÍ","Pedidos "&amp;IF(N(U55)&gt;0,"sobre","bajo")&amp;" FCST "&amp;TEXT(ABS(N(U55)),"0%")&amp;": revisar forecast con KAM.","")</f>
        <v>Pedidos bajo FCST 32%: revisar forecast con KAM.</v>
      </c>
    </row>
    <row r="56" customFormat="false" ht="15" hidden="false" customHeight="false" outlineLevel="0" collapsed="false">
      <c r="A56" s="18" t="n">
        <f aca="false">Stock_Seguridad!A56</f>
        <v>30001715</v>
      </c>
      <c r="B56" s="18" t="str">
        <f aca="false">Stock_Seguridad!B56</f>
        <v>LECHE POLVO LONCO SEMIDESCREMADA10X760GR</v>
      </c>
      <c r="C56" s="18" t="str">
        <f aca="false">Stock_Seguridad!C56</f>
        <v>LECHES EN POLVO</v>
      </c>
      <c r="D56" s="18" t="str">
        <f aca="false">Stock_Seguridad!F56</f>
        <v>BX</v>
      </c>
      <c r="E56" s="19" t="str">
        <f aca="false">Stock_Seguridad!X56</f>
        <v>OK</v>
      </c>
      <c r="F56" s="20" t="n">
        <f aca="false">Stock_Seguridad!W56</f>
        <v>5.29427264409881</v>
      </c>
      <c r="G56" s="21" t="n">
        <f aca="false">Stock_Seguridad!T56</f>
        <v>28933.2</v>
      </c>
      <c r="H56" s="21" t="n">
        <f aca="false">Stock_Seguridad!R56</f>
        <v>9819.01142155282</v>
      </c>
      <c r="I56" s="21" t="n">
        <f aca="false">Stock_Seguridad!S56</f>
        <v>15284.0114215528</v>
      </c>
      <c r="J56" s="21" t="n">
        <f aca="false">Stock_Seguridad!U56</f>
        <v>0</v>
      </c>
      <c r="K56" s="22"/>
      <c r="L56" s="23" t="n">
        <v>0</v>
      </c>
      <c r="M56" s="23" t="n">
        <v>129.2</v>
      </c>
      <c r="N56" s="23" t="n">
        <v>0</v>
      </c>
      <c r="O56" s="24" t="n">
        <v>0.0638328075709779</v>
      </c>
      <c r="P56" s="24" t="n">
        <f aca="false">IF(ISNUMBER(Stock_Seguridad!N56),Stock_Seguridad!N56,"")</f>
        <v>0.194520547945206</v>
      </c>
      <c r="Q56" s="24" t="n">
        <f aca="false">IF(AND(ISNUMBER(O56),ISNUMBER(P56)),P56-O56,"")</f>
        <v>0.130687740374228</v>
      </c>
      <c r="R56" s="23" t="n">
        <f aca="false">MAX(0,G56-N(L56))</f>
        <v>28933.2</v>
      </c>
      <c r="S56" s="23" t="n">
        <f aca="false">SUMIFS(Cadenas_vs_FCST!$D$17:$D$652,Cadenas_vs_FCST!$A$17:$A$652,A56)</f>
        <v>23848.8</v>
      </c>
      <c r="T56" s="23" t="n">
        <f aca="false">SUMIFS(Cadenas_vs_FCST!$E$17:$E$652,Cadenas_vs_FCST!$A$17:$A$652,A56)</f>
        <v>40004.8540381682</v>
      </c>
      <c r="U56" s="24" t="n">
        <f aca="false">IF(T56&gt;0,S56/T56-1,"")</f>
        <v>-0.403852343087013</v>
      </c>
      <c r="V56" s="3" t="str">
        <f aca="false">IF(OR(E56="BAJO SS",E56="BAJO SS (XLIB CUBRE)"),"SÍ","")</f>
        <v/>
      </c>
      <c r="W56" s="3" t="str">
        <f aca="false">IF(AND(V56="",N(L56)&gt;=Parametros!$B$17,G56&gt;=H56,R56&lt;H56),"SÍ","")</f>
        <v/>
      </c>
      <c r="X56" s="3" t="str">
        <f aca="false">IF(OR(E56="SOBRE MAX VENDIBLE",N(N56)&gt;=Parametros!$B$17,N(M56)&gt;=Parametros!$B$17),"SÍ","")</f>
        <v/>
      </c>
      <c r="Y56" s="3" t="str">
        <f aca="false">IF(AND(ISNUMBER(U56),MAX(S56,T56)&gt;=Parametros!$B$15,ABS(N(U56))&gt;Parametros!$B$14),"SÍ","")</f>
        <v>SÍ</v>
      </c>
      <c r="Z56" s="3" t="n">
        <f aca="false">COUNTIF(V56:Y56,"SÍ")</f>
        <v>1</v>
      </c>
      <c r="AA56" s="3" t="n">
        <f aca="false">(3*(V56="SÍ")+2*(W56="SÍ")+2*(X56="SÍ")+(Y56="SÍ"))*IF(LEFT(D56,1)="A",3,IF(OR(LEFT(D56,1)="B",D56="SIN HIST"),2,1))</f>
        <v>2</v>
      </c>
      <c r="AB56" s="3" t="str">
        <f aca="false">IF(AA56&gt;=9,"1-ALTA",IF(AA56&gt;=4,"2-MEDIA",IF(AA56&gt;0,"3-BAJA","")))</f>
        <v>3-BAJA</v>
      </c>
      <c r="AC56" s="3" t="str">
        <f aca="false">IF(E56="BAJO SS","Stock + XLIB bajo el SS: riesgo real de quiebre, adelantar producción. ","")&amp;IF(E56="BAJO SS (XLIB CUBRE)","Disponible bajo el SS; depende de liberar "&amp;TEXT(J56,"#,##0")&amp;" kg"&amp;IF(ISNUMBER(K56)," el "&amp;TEXT(K56,"dd-mm"),"")&amp;". ","")&amp;IF(W56="SÍ","Stock parece sano pero "&amp;TEXT(L56,"#,##0")&amp;" kg no pasan filtro "&amp;Stock_Seguridad!O56&amp;": sin ellos queda bajo el SS para esa cadena. ","")&amp;IF(E56="SOBRE MAX VENDIBLE","Sobrestock vs vida útil: frenar producción/activar venta. ","")&amp;IF(N(N56)&gt;=Parametros!$B$17,TEXT(N56,"#,##0")&amp;" kg ya no los acepta ninguna cadena: venta intermedia/liquidación. ","")&amp;IF(N(M56)&gt;=Parametros!$B$17,TEXT(M56,"#,##0")&amp;" kg a punto de salir del filtro: despachar primero (FEFO). ","")&amp;IF(Y56="SÍ","Pedidos "&amp;IF(N(U56)&gt;0,"sobre","bajo")&amp;" FCST "&amp;TEXT(ABS(N(U56)),"0%")&amp;": revisar forecast con KAM.","")</f>
        <v>Pedidos bajo FCST 40%: revisar forecast con KAM.</v>
      </c>
    </row>
    <row r="57" customFormat="false" ht="15" hidden="false" customHeight="false" outlineLevel="0" collapsed="false">
      <c r="A57" s="18" t="n">
        <f aca="false">Stock_Seguridad!A57</f>
        <v>30000321</v>
      </c>
      <c r="B57" s="18" t="str">
        <f aca="false">Stock_Seguridad!B57</f>
        <v>LECHE POLVO LONCO S/LACT 10X800GR</v>
      </c>
      <c r="C57" s="18" t="str">
        <f aca="false">Stock_Seguridad!C57</f>
        <v>LECHES EN POLVO</v>
      </c>
      <c r="D57" s="18" t="str">
        <f aca="false">Stock_Seguridad!F57</f>
        <v>BX</v>
      </c>
      <c r="E57" s="19" t="str">
        <f aca="false">Stock_Seguridad!X57</f>
        <v>OK</v>
      </c>
      <c r="F57" s="20" t="n">
        <f aca="false">Stock_Seguridad!W57</f>
        <v>3.14951254000149</v>
      </c>
      <c r="G57" s="21" t="n">
        <f aca="false">Stock_Seguridad!T57</f>
        <v>16928</v>
      </c>
      <c r="H57" s="21" t="n">
        <f aca="false">Stock_Seguridad!R57</f>
        <v>1134.14417675049</v>
      </c>
      <c r="I57" s="21" t="n">
        <f aca="false">Stock_Seguridad!S57</f>
        <v>6508.94417675049</v>
      </c>
      <c r="J57" s="21" t="n">
        <f aca="false">Stock_Seguridad!U57</f>
        <v>0</v>
      </c>
      <c r="K57" s="22"/>
      <c r="L57" s="23" t="n">
        <v>0</v>
      </c>
      <c r="M57" s="23" t="n">
        <v>0</v>
      </c>
      <c r="N57" s="23" t="n">
        <v>0</v>
      </c>
      <c r="O57" s="24" t="n">
        <v>0.0524680246328754</v>
      </c>
      <c r="P57" s="24" t="n">
        <f aca="false">IF(ISNUMBER(Stock_Seguridad!N57),Stock_Seguridad!N57,"")</f>
        <v>0.32054794520548</v>
      </c>
      <c r="Q57" s="24" t="n">
        <f aca="false">IF(AND(ISNUMBER(O57),ISNUMBER(P57)),P57-O57,"")</f>
        <v>0.268079920572604</v>
      </c>
      <c r="R57" s="23" t="n">
        <f aca="false">MAX(0,G57-N(L57))</f>
        <v>16928</v>
      </c>
      <c r="S57" s="23" t="n">
        <f aca="false">SUMIFS(Cadenas_vs_FCST!$D$17:$D$652,Cadenas_vs_FCST!$A$17:$A$652,A57)</f>
        <v>21128</v>
      </c>
      <c r="T57" s="23" t="n">
        <f aca="false">SUMIFS(Cadenas_vs_FCST!$E$17:$E$652,Cadenas_vs_FCST!$A$17:$A$652,A57)</f>
        <v>19478.5230550219</v>
      </c>
      <c r="U57" s="24" t="n">
        <f aca="false">IF(T57&gt;0,S57/T57-1,"")</f>
        <v>0.0846818283048847</v>
      </c>
      <c r="V57" s="3" t="str">
        <f aca="false">IF(OR(E57="BAJO SS",E57="BAJO SS (XLIB CUBRE)"),"SÍ","")</f>
        <v/>
      </c>
      <c r="W57" s="3" t="str">
        <f aca="false">IF(AND(V57="",N(L57)&gt;=Parametros!$B$17,G57&gt;=H57,R57&lt;H57),"SÍ","")</f>
        <v/>
      </c>
      <c r="X57" s="3" t="str">
        <f aca="false">IF(OR(E57="SOBRE MAX VENDIBLE",N(N57)&gt;=Parametros!$B$17,N(M57)&gt;=Parametros!$B$17),"SÍ","")</f>
        <v/>
      </c>
      <c r="Y57" s="3" t="str">
        <f aca="false">IF(AND(ISNUMBER(U57),MAX(S57,T57)&gt;=Parametros!$B$15,ABS(N(U57))&gt;Parametros!$B$14),"SÍ","")</f>
        <v/>
      </c>
      <c r="Z57" s="3" t="n">
        <f aca="false">COUNTIF(V57:Y57,"SÍ")</f>
        <v>0</v>
      </c>
      <c r="AA57" s="3" t="n">
        <f aca="false">(3*(V57="SÍ")+2*(W57="SÍ")+2*(X57="SÍ")+(Y57="SÍ"))*IF(LEFT(D57,1)="A",3,IF(OR(LEFT(D57,1)="B",D57="SIN HIST"),2,1))</f>
        <v>0</v>
      </c>
      <c r="AB57" s="3" t="str">
        <f aca="false">IF(AA57&gt;=9,"1-ALTA",IF(AA57&gt;=4,"2-MEDIA",IF(AA57&gt;0,"3-BAJA","")))</f>
        <v/>
      </c>
      <c r="AC57" s="3" t="str">
        <f aca="false">IF(E57="BAJO SS","Stock + XLIB bajo el SS: riesgo real de quiebre, adelantar producción. ","")&amp;IF(E57="BAJO SS (XLIB CUBRE)","Disponible bajo el SS; depende de liberar "&amp;TEXT(J57,"#,##0")&amp;" kg"&amp;IF(ISNUMBER(K57)," el "&amp;TEXT(K57,"dd-mm"),"")&amp;". ","")&amp;IF(W57="SÍ","Stock parece sano pero "&amp;TEXT(L57,"#,##0")&amp;" kg no pasan filtro "&amp;Stock_Seguridad!O57&amp;": sin ellos queda bajo el SS para esa cadena. ","")&amp;IF(E57="SOBRE MAX VENDIBLE","Sobrestock vs vida útil: frenar producción/activar venta. ","")&amp;IF(N(N57)&gt;=Parametros!$B$17,TEXT(N57,"#,##0")&amp;" kg ya no los acepta ninguna cadena: venta intermedia/liquidación. ","")&amp;IF(N(M57)&gt;=Parametros!$B$17,TEXT(M57,"#,##0")&amp;" kg a punto de salir del filtro: despachar primero (FEFO). ","")&amp;IF(Y57="SÍ","Pedidos "&amp;IF(N(U57)&gt;0,"sobre","bajo")&amp;" FCST "&amp;TEXT(ABS(N(U57)),"0%")&amp;": revisar forecast con KAM.","")</f>
        <v/>
      </c>
    </row>
    <row r="58" customFormat="false" ht="15" hidden="false" customHeight="false" outlineLevel="0" collapsed="false">
      <c r="A58" s="18" t="n">
        <f aca="false">Stock_Seguridad!A58</f>
        <v>30001410</v>
      </c>
      <c r="B58" s="18" t="str">
        <f aca="false">Stock_Seguridad!B58</f>
        <v>LECHE POLVO CALO ENTERA INST 6X1,440KG</v>
      </c>
      <c r="C58" s="18" t="str">
        <f aca="false">Stock_Seguridad!C58</f>
        <v>LECHES EN POLVO</v>
      </c>
      <c r="D58" s="18" t="str">
        <f aca="false">Stock_Seguridad!F58</f>
        <v>BX</v>
      </c>
      <c r="E58" s="19" t="str">
        <f aca="false">Stock_Seguridad!X58</f>
        <v>OK</v>
      </c>
      <c r="F58" s="20" t="n">
        <f aca="false">Stock_Seguridad!W58</f>
        <v>6.22525603754584</v>
      </c>
      <c r="G58" s="21" t="n">
        <f aca="false">Stock_Seguridad!T58</f>
        <v>26853.1</v>
      </c>
      <c r="H58" s="21" t="n">
        <f aca="false">Stock_Seguridad!R58</f>
        <v>4030.87494240916</v>
      </c>
      <c r="I58" s="21" t="n">
        <f aca="false">Stock_Seguridad!S58</f>
        <v>9293.77494240916</v>
      </c>
      <c r="J58" s="21" t="n">
        <f aca="false">Stock_Seguridad!U58</f>
        <v>5909.8</v>
      </c>
      <c r="K58" s="22" t="n">
        <v>46321</v>
      </c>
      <c r="L58" s="23" t="n">
        <v>630.72</v>
      </c>
      <c r="M58" s="23" t="n">
        <v>0</v>
      </c>
      <c r="N58" s="23" t="n">
        <v>0</v>
      </c>
      <c r="O58" s="24" t="n">
        <v>0.0361919831223629</v>
      </c>
      <c r="P58" s="24" t="n">
        <f aca="false">IF(ISNUMBER(Stock_Seguridad!N58),Stock_Seguridad!N58,"")</f>
        <v>0.194520547945206</v>
      </c>
      <c r="Q58" s="24" t="n">
        <f aca="false">IF(AND(ISNUMBER(O58),ISNUMBER(P58)),P58-O58,"")</f>
        <v>0.158328564822843</v>
      </c>
      <c r="R58" s="23" t="n">
        <f aca="false">MAX(0,G58-N(L58))</f>
        <v>26222.38</v>
      </c>
      <c r="S58" s="23" t="n">
        <f aca="false">SUMIFS(Cadenas_vs_FCST!$D$17:$D$652,Cadenas_vs_FCST!$A$17:$A$652,A58)</f>
        <v>26049.6</v>
      </c>
      <c r="T58" s="23" t="n">
        <f aca="false">SUMIFS(Cadenas_vs_FCST!$E$17:$E$652,Cadenas_vs_FCST!$A$17:$A$652,A58)</f>
        <v>22796.1106011939</v>
      </c>
      <c r="U58" s="24" t="n">
        <f aca="false">IF(T58&gt;0,S58/T58-1,"")</f>
        <v>0.142721249941459</v>
      </c>
      <c r="V58" s="3" t="str">
        <f aca="false">IF(OR(E58="BAJO SS",E58="BAJO SS (XLIB CUBRE)"),"SÍ","")</f>
        <v/>
      </c>
      <c r="W58" s="3" t="str">
        <f aca="false">IF(AND(V58="",N(L58)&gt;=Parametros!$B$17,G58&gt;=H58,R58&lt;H58),"SÍ","")</f>
        <v/>
      </c>
      <c r="X58" s="3" t="str">
        <f aca="false">IF(OR(E58="SOBRE MAX VENDIBLE",N(N58)&gt;=Parametros!$B$17,N(M58)&gt;=Parametros!$B$17),"SÍ","")</f>
        <v/>
      </c>
      <c r="Y58" s="3" t="str">
        <f aca="false">IF(AND(ISNUMBER(U58),MAX(S58,T58)&gt;=Parametros!$B$15,ABS(N(U58))&gt;Parametros!$B$14),"SÍ","")</f>
        <v/>
      </c>
      <c r="Z58" s="3" t="n">
        <f aca="false">COUNTIF(V58:Y58,"SÍ")</f>
        <v>0</v>
      </c>
      <c r="AA58" s="3" t="n">
        <f aca="false">(3*(V58="SÍ")+2*(W58="SÍ")+2*(X58="SÍ")+(Y58="SÍ"))*IF(LEFT(D58,1)="A",3,IF(OR(LEFT(D58,1)="B",D58="SIN HIST"),2,1))</f>
        <v>0</v>
      </c>
      <c r="AB58" s="3" t="str">
        <f aca="false">IF(AA58&gt;=9,"1-ALTA",IF(AA58&gt;=4,"2-MEDIA",IF(AA58&gt;0,"3-BAJA","")))</f>
        <v/>
      </c>
      <c r="AC58" s="3" t="str">
        <f aca="false">IF(E58="BAJO SS","Stock + XLIB bajo el SS: riesgo real de quiebre, adelantar producción. ","")&amp;IF(E58="BAJO SS (XLIB CUBRE)","Disponible bajo el SS; depende de liberar "&amp;TEXT(J58,"#,##0")&amp;" kg"&amp;IF(ISNUMBER(K58)," el "&amp;TEXT(K58,"dd-mm"),"")&amp;". ","")&amp;IF(W58="SÍ","Stock parece sano pero "&amp;TEXT(L58,"#,##0")&amp;" kg no pasan filtro "&amp;Stock_Seguridad!O58&amp;": sin ellos queda bajo el SS para esa cadena. ","")&amp;IF(E58="SOBRE MAX VENDIBLE","Sobrestock vs vida útil: frenar producción/activar venta. ","")&amp;IF(N(N58)&gt;=Parametros!$B$17,TEXT(N58,"#,##0")&amp;" kg ya no los acepta ninguna cadena: venta intermedia/liquidación. ","")&amp;IF(N(M58)&gt;=Parametros!$B$17,TEXT(M58,"#,##0")&amp;" kg a punto de salir del filtro: despachar primero (FEFO). ","")&amp;IF(Y58="SÍ","Pedidos "&amp;IF(N(U58)&gt;0,"sobre","bajo")&amp;" FCST "&amp;TEXT(ABS(N(U58)),"0%")&amp;": revisar forecast con KAM.","")</f>
        <v/>
      </c>
    </row>
    <row r="59" customFormat="false" ht="15" hidden="false" customHeight="false" outlineLevel="0" collapsed="false">
      <c r="A59" s="18" t="n">
        <f aca="false">Stock_Seguridad!A59</f>
        <v>30002125</v>
      </c>
      <c r="B59" s="18" t="str">
        <f aca="false">Stock_Seguridad!B59</f>
        <v>LECHE EN POLVO ENTERA LONCO 20X760GR</v>
      </c>
      <c r="C59" s="18" t="str">
        <f aca="false">Stock_Seguridad!C59</f>
        <v>LECHES EN POLVO</v>
      </c>
      <c r="D59" s="18" t="str">
        <f aca="false">Stock_Seguridad!F59</f>
        <v>CY</v>
      </c>
      <c r="E59" s="19" t="str">
        <f aca="false">Stock_Seguridad!X59</f>
        <v>OK</v>
      </c>
      <c r="F59" s="20" t="n">
        <f aca="false">Stock_Seguridad!W59</f>
        <v>3.04240112504575</v>
      </c>
      <c r="G59" s="21" t="n">
        <f aca="false">Stock_Seguridad!T59</f>
        <v>15792.8</v>
      </c>
      <c r="H59" s="21" t="n">
        <f aca="false">Stock_Seguridad!R59</f>
        <v>698.350271144059</v>
      </c>
      <c r="I59" s="21" t="n">
        <f aca="false">Stock_Seguridad!S59</f>
        <v>5889.25027114406</v>
      </c>
      <c r="J59" s="21" t="n">
        <f aca="false">Stock_Seguridad!U59</f>
        <v>0</v>
      </c>
      <c r="K59" s="22"/>
      <c r="L59" s="23" t="n">
        <v>0</v>
      </c>
      <c r="M59" s="23" t="n">
        <v>0</v>
      </c>
      <c r="N59" s="23" t="n">
        <v>0</v>
      </c>
      <c r="O59" s="24" t="n">
        <v>0.0608084696823869</v>
      </c>
      <c r="P59" s="24" t="n">
        <f aca="false">IF(ISNUMBER(Stock_Seguridad!N59),Stock_Seguridad!N59,"")</f>
        <v>0.32054794520548</v>
      </c>
      <c r="Q59" s="24" t="n">
        <f aca="false">IF(AND(ISNUMBER(O59),ISNUMBER(P59)),P59-O59,"")</f>
        <v>0.259739475523093</v>
      </c>
      <c r="R59" s="23" t="n">
        <f aca="false">MAX(0,G59-N(L59))</f>
        <v>15792.8</v>
      </c>
      <c r="S59" s="23" t="n">
        <f aca="false">SUMIFS(Cadenas_vs_FCST!$D$17:$D$652,Cadenas_vs_FCST!$A$17:$A$652,A59)</f>
        <v>8284</v>
      </c>
      <c r="T59" s="23" t="n">
        <f aca="false">SUMIFS(Cadenas_vs_FCST!$E$17:$E$652,Cadenas_vs_FCST!$A$17:$A$652,A59)</f>
        <v>9350.12540488613</v>
      </c>
      <c r="U59" s="24" t="n">
        <f aca="false">IF(T59&gt;0,S59/T59-1,"")</f>
        <v>-0.114022578170876</v>
      </c>
      <c r="V59" s="3" t="str">
        <f aca="false">IF(OR(E59="BAJO SS",E59="BAJO SS (XLIB CUBRE)"),"SÍ","")</f>
        <v/>
      </c>
      <c r="W59" s="3" t="str">
        <f aca="false">IF(AND(V59="",N(L59)&gt;=Parametros!$B$17,G59&gt;=H59,R59&lt;H59),"SÍ","")</f>
        <v/>
      </c>
      <c r="X59" s="3" t="str">
        <f aca="false">IF(OR(E59="SOBRE MAX VENDIBLE",N(N59)&gt;=Parametros!$B$17,N(M59)&gt;=Parametros!$B$17),"SÍ","")</f>
        <v/>
      </c>
      <c r="Y59" s="3" t="str">
        <f aca="false">IF(AND(ISNUMBER(U59),MAX(S59,T59)&gt;=Parametros!$B$15,ABS(N(U59))&gt;Parametros!$B$14),"SÍ","")</f>
        <v/>
      </c>
      <c r="Z59" s="3" t="n">
        <f aca="false">COUNTIF(V59:Y59,"SÍ")</f>
        <v>0</v>
      </c>
      <c r="AA59" s="3" t="n">
        <f aca="false">(3*(V59="SÍ")+2*(W59="SÍ")+2*(X59="SÍ")+(Y59="SÍ"))*IF(LEFT(D59,1)="A",3,IF(OR(LEFT(D59,1)="B",D59="SIN HIST"),2,1))</f>
        <v>0</v>
      </c>
      <c r="AB59" s="3" t="str">
        <f aca="false">IF(AA59&gt;=9,"1-ALTA",IF(AA59&gt;=4,"2-MEDIA",IF(AA59&gt;0,"3-BAJA","")))</f>
        <v/>
      </c>
      <c r="AC59" s="3" t="str">
        <f aca="false">IF(E59="BAJO SS","Stock + XLIB bajo el SS: riesgo real de quiebre, adelantar producción. ","")&amp;IF(E59="BAJO SS (XLIB CUBRE)","Disponible bajo el SS; depende de liberar "&amp;TEXT(J59,"#,##0")&amp;" kg"&amp;IF(ISNUMBER(K59)," el "&amp;TEXT(K59,"dd-mm"),"")&amp;". ","")&amp;IF(W59="SÍ","Stock parece sano pero "&amp;TEXT(L59,"#,##0")&amp;" kg no pasan filtro "&amp;Stock_Seguridad!O59&amp;": sin ellos queda bajo el SS para esa cadena. ","")&amp;IF(E59="SOBRE MAX VENDIBLE","Sobrestock vs vida útil: frenar producción/activar venta. ","")&amp;IF(N(N59)&gt;=Parametros!$B$17,TEXT(N59,"#,##0")&amp;" kg ya no los acepta ninguna cadena: venta intermedia/liquidación. ","")&amp;IF(N(M59)&gt;=Parametros!$B$17,TEXT(M59,"#,##0")&amp;" kg a punto de salir del filtro: despachar primero (FEFO). ","")&amp;IF(Y59="SÍ","Pedidos "&amp;IF(N(U59)&gt;0,"sobre","bajo")&amp;" FCST "&amp;TEXT(ABS(N(U59)),"0%")&amp;": revisar forecast con KAM.","")</f>
        <v/>
      </c>
    </row>
    <row r="60" customFormat="false" ht="15" hidden="false" customHeight="false" outlineLevel="0" collapsed="false">
      <c r="A60" s="18" t="n">
        <f aca="false">Stock_Seguridad!A60</f>
        <v>30000244</v>
      </c>
      <c r="B60" s="18" t="str">
        <f aca="false">Stock_Seguridad!B60</f>
        <v>NECTAR WATTS NARANJA 12X1LT</v>
      </c>
      <c r="C60" s="18" t="str">
        <f aca="false">Stock_Seguridad!C60</f>
        <v>JUGOS Y NECTARES</v>
      </c>
      <c r="D60" s="18" t="str">
        <f aca="false">Stock_Seguridad!F60</f>
        <v>CX</v>
      </c>
      <c r="E60" s="19" t="str">
        <f aca="false">Stock_Seguridad!X60</f>
        <v>OK</v>
      </c>
      <c r="F60" s="20" t="n">
        <f aca="false">Stock_Seguridad!W60</f>
        <v>6.22588891471067</v>
      </c>
      <c r="G60" s="21" t="n">
        <f aca="false">Stock_Seguridad!T60</f>
        <v>32148</v>
      </c>
      <c r="H60" s="21" t="n">
        <f aca="false">Stock_Seguridad!R60</f>
        <v>2295.82220808469</v>
      </c>
      <c r="I60" s="21" t="n">
        <f aca="false">Stock_Seguridad!S60</f>
        <v>7459.42220808469</v>
      </c>
      <c r="J60" s="21" t="n">
        <f aca="false">Stock_Seguridad!U60</f>
        <v>0</v>
      </c>
      <c r="K60" s="22"/>
      <c r="L60" s="23" t="n">
        <v>0</v>
      </c>
      <c r="M60" s="23" t="n">
        <v>672</v>
      </c>
      <c r="N60" s="23" t="n">
        <v>0</v>
      </c>
      <c r="O60" s="24" t="n">
        <v>0.0572740851381628</v>
      </c>
      <c r="P60" s="24" t="n">
        <f aca="false">IF(ISNUMBER(Stock_Seguridad!N60),Stock_Seguridad!N60,"")</f>
        <v>0.194520547945206</v>
      </c>
      <c r="Q60" s="24" t="n">
        <f aca="false">IF(AND(ISNUMBER(O60),ISNUMBER(P60)),P60-O60,"")</f>
        <v>0.137246462807043</v>
      </c>
      <c r="R60" s="23" t="n">
        <f aca="false">MAX(0,G60-N(L60))</f>
        <v>32148</v>
      </c>
      <c r="S60" s="23" t="n">
        <f aca="false">SUMIFS(Cadenas_vs_FCST!$D$17:$D$652,Cadenas_vs_FCST!$A$17:$A$652,A60)</f>
        <v>15384</v>
      </c>
      <c r="T60" s="23" t="n">
        <f aca="false">SUMIFS(Cadenas_vs_FCST!$E$17:$E$652,Cadenas_vs_FCST!$A$17:$A$652,A60)</f>
        <v>23268.9388714098</v>
      </c>
      <c r="U60" s="24" t="n">
        <f aca="false">IF(T60&gt;0,S60/T60-1,"")</f>
        <v>-0.338861127917523</v>
      </c>
      <c r="V60" s="3" t="str">
        <f aca="false">IF(OR(E60="BAJO SS",E60="BAJO SS (XLIB CUBRE)"),"SÍ","")</f>
        <v/>
      </c>
      <c r="W60" s="3" t="str">
        <f aca="false">IF(AND(V60="",N(L60)&gt;=Parametros!$B$17,G60&gt;=H60,R60&lt;H60),"SÍ","")</f>
        <v/>
      </c>
      <c r="X60" s="3" t="str">
        <f aca="false">IF(OR(E60="SOBRE MAX VENDIBLE",N(N60)&gt;=Parametros!$B$17,N(M60)&gt;=Parametros!$B$17),"SÍ","")</f>
        <v>SÍ</v>
      </c>
      <c r="Y60" s="3" t="str">
        <f aca="false">IF(AND(ISNUMBER(U60),MAX(S60,T60)&gt;=Parametros!$B$15,ABS(N(U60))&gt;Parametros!$B$14),"SÍ","")</f>
        <v>SÍ</v>
      </c>
      <c r="Z60" s="3" t="n">
        <f aca="false">COUNTIF(V60:Y60,"SÍ")</f>
        <v>2</v>
      </c>
      <c r="AA60" s="3" t="n">
        <f aca="false">(3*(V60="SÍ")+2*(W60="SÍ")+2*(X60="SÍ")+(Y60="SÍ"))*IF(LEFT(D60,1)="A",3,IF(OR(LEFT(D60,1)="B",D60="SIN HIST"),2,1))</f>
        <v>3</v>
      </c>
      <c r="AB60" s="3" t="str">
        <f aca="false">IF(AA60&gt;=9,"1-ALTA",IF(AA60&gt;=4,"2-MEDIA",IF(AA60&gt;0,"3-BAJA","")))</f>
        <v>3-BAJA</v>
      </c>
      <c r="AC60" s="3" t="str">
        <f aca="false">IF(E60="BAJO SS","Stock + XLIB bajo el SS: riesgo real de quiebre, adelantar producción. ","")&amp;IF(E60="BAJO SS (XLIB CUBRE)","Disponible bajo el SS; depende de liberar "&amp;TEXT(J60,"#,##0")&amp;" kg"&amp;IF(ISNUMBER(K60)," el "&amp;TEXT(K60,"dd-mm"),"")&amp;". ","")&amp;IF(W60="SÍ","Stock parece sano pero "&amp;TEXT(L60,"#,##0")&amp;" kg no pasan filtro "&amp;Stock_Seguridad!O60&amp;": sin ellos queda bajo el SS para esa cadena. ","")&amp;IF(E60="SOBRE MAX VENDIBLE","Sobrestock vs vida útil: frenar producción/activar venta. ","")&amp;IF(N(N60)&gt;=Parametros!$B$17,TEXT(N60,"#,##0")&amp;" kg ya no los acepta ninguna cadena: venta intermedia/liquidación. ","")&amp;IF(N(M60)&gt;=Parametros!$B$17,TEXT(M60,"#,##0")&amp;" kg a punto de salir del filtro: despachar primero (FEFO). ","")&amp;IF(Y60="SÍ","Pedidos "&amp;IF(N(U60)&gt;0,"sobre","bajo")&amp;" FCST "&amp;TEXT(ABS(N(U60)),"0%")&amp;": revisar forecast con KAM.","")</f>
        <v>672 kg a punto de salir del filtro: despachar primero (FEFO). Pedidos bajo FCST 34%: revisar forecast con KAM.</v>
      </c>
    </row>
    <row r="61" customFormat="false" ht="15" hidden="false" customHeight="false" outlineLevel="0" collapsed="false">
      <c r="A61" s="18" t="n">
        <f aca="false">Stock_Seguridad!A61</f>
        <v>30000543</v>
      </c>
      <c r="B61" s="18" t="str">
        <f aca="false">Stock_Seguridad!B61</f>
        <v>BEBIDA VEGETAL LONCO AVENA LCO 6X1LT</v>
      </c>
      <c r="C61" s="18" t="str">
        <f aca="false">Stock_Seguridad!C61</f>
        <v>LECHES LIQUIDAS</v>
      </c>
      <c r="D61" s="18" t="str">
        <f aca="false">Stock_Seguridad!F61</f>
        <v>CX</v>
      </c>
      <c r="E61" s="19" t="str">
        <f aca="false">Stock_Seguridad!X61</f>
        <v>BAJO P.REORDEN</v>
      </c>
      <c r="F61" s="20" t="n">
        <f aca="false">Stock_Seguridad!W61</f>
        <v>0.894068873809571</v>
      </c>
      <c r="G61" s="21" t="n">
        <f aca="false">Stock_Seguridad!T61</f>
        <v>4572</v>
      </c>
      <c r="H61" s="21" t="n">
        <f aca="false">Stock_Seguridad!R61</f>
        <v>2639.2966223466</v>
      </c>
      <c r="I61" s="21" t="n">
        <f aca="false">Stock_Seguridad!S61</f>
        <v>7752.9966223466</v>
      </c>
      <c r="J61" s="21" t="n">
        <f aca="false">Stock_Seguridad!U61</f>
        <v>0</v>
      </c>
      <c r="K61" s="22"/>
      <c r="L61" s="23" t="n">
        <v>0</v>
      </c>
      <c r="M61" s="23" t="n">
        <v>0</v>
      </c>
      <c r="N61" s="23" t="n">
        <v>0</v>
      </c>
      <c r="O61" s="24" t="n">
        <v>0.273923884514436</v>
      </c>
      <c r="P61" s="24" t="n">
        <f aca="false">IF(ISNUMBER(Stock_Seguridad!N61),Stock_Seguridad!N61,"")</f>
        <v>0.479452054794521</v>
      </c>
      <c r="Q61" s="24" t="n">
        <f aca="false">IF(AND(ISNUMBER(O61),ISNUMBER(P61)),P61-O61,"")</f>
        <v>0.205528170280085</v>
      </c>
      <c r="R61" s="23" t="n">
        <f aca="false">MAX(0,G61-N(L61))</f>
        <v>4572</v>
      </c>
      <c r="S61" s="23" t="n">
        <f aca="false">SUMIFS(Cadenas_vs_FCST!$D$17:$D$652,Cadenas_vs_FCST!$A$17:$A$652,A61)</f>
        <v>11862</v>
      </c>
      <c r="T61" s="23" t="n">
        <f aca="false">SUMIFS(Cadenas_vs_FCST!$E$17:$E$652,Cadenas_vs_FCST!$A$17:$A$652,A61)</f>
        <v>17969.5209315898</v>
      </c>
      <c r="U61" s="24" t="n">
        <f aca="false">IF(T61&gt;0,S61/T61-1,"")</f>
        <v>-0.339882234748562</v>
      </c>
      <c r="V61" s="3" t="str">
        <f aca="false">IF(OR(E61="BAJO SS",E61="BAJO SS (XLIB CUBRE)"),"SÍ","")</f>
        <v/>
      </c>
      <c r="W61" s="3" t="str">
        <f aca="false">IF(AND(V61="",N(L61)&gt;=Parametros!$B$17,G61&gt;=H61,R61&lt;H61),"SÍ","")</f>
        <v/>
      </c>
      <c r="X61" s="3" t="str">
        <f aca="false">IF(OR(E61="SOBRE MAX VENDIBLE",N(N61)&gt;=Parametros!$B$17,N(M61)&gt;=Parametros!$B$17),"SÍ","")</f>
        <v/>
      </c>
      <c r="Y61" s="3" t="str">
        <f aca="false">IF(AND(ISNUMBER(U61),MAX(S61,T61)&gt;=Parametros!$B$15,ABS(N(U61))&gt;Parametros!$B$14),"SÍ","")</f>
        <v>SÍ</v>
      </c>
      <c r="Z61" s="3" t="n">
        <f aca="false">COUNTIF(V61:Y61,"SÍ")</f>
        <v>1</v>
      </c>
      <c r="AA61" s="3" t="n">
        <f aca="false">(3*(V61="SÍ")+2*(W61="SÍ")+2*(X61="SÍ")+(Y61="SÍ"))*IF(LEFT(D61,1)="A",3,IF(OR(LEFT(D61,1)="B",D61="SIN HIST"),2,1))</f>
        <v>1</v>
      </c>
      <c r="AB61" s="3" t="str">
        <f aca="false">IF(AA61&gt;=9,"1-ALTA",IF(AA61&gt;=4,"2-MEDIA",IF(AA61&gt;0,"3-BAJA","")))</f>
        <v>3-BAJA</v>
      </c>
      <c r="AC61" s="3" t="str">
        <f aca="false">IF(E61="BAJO SS","Stock + XLIB bajo el SS: riesgo real de quiebre, adelantar producción. ","")&amp;IF(E61="BAJO SS (XLIB CUBRE)","Disponible bajo el SS; depende de liberar "&amp;TEXT(J61,"#,##0")&amp;" kg"&amp;IF(ISNUMBER(K61)," el "&amp;TEXT(K61,"dd-mm"),"")&amp;". ","")&amp;IF(W61="SÍ","Stock parece sano pero "&amp;TEXT(L61,"#,##0")&amp;" kg no pasan filtro "&amp;Stock_Seguridad!O61&amp;": sin ellos queda bajo el SS para esa cadena. ","")&amp;IF(E61="SOBRE MAX VENDIBLE","Sobrestock vs vida útil: frenar producción/activar venta. ","")&amp;IF(N(N61)&gt;=Parametros!$B$17,TEXT(N61,"#,##0")&amp;" kg ya no los acepta ninguna cadena: venta intermedia/liquidación. ","")&amp;IF(N(M61)&gt;=Parametros!$B$17,TEXT(M61,"#,##0")&amp;" kg a punto de salir del filtro: despachar primero (FEFO). ","")&amp;IF(Y61="SÍ","Pedidos "&amp;IF(N(U61)&gt;0,"sobre","bajo")&amp;" FCST "&amp;TEXT(ABS(N(U61)),"0%")&amp;": revisar forecast con KAM.","")</f>
        <v>Pedidos bajo FCST 34%: revisar forecast con KAM.</v>
      </c>
    </row>
    <row r="62" customFormat="false" ht="15" hidden="false" customHeight="false" outlineLevel="0" collapsed="false">
      <c r="A62" s="18" t="n">
        <f aca="false">Stock_Seguridad!A62</f>
        <v>30002077</v>
      </c>
      <c r="B62" s="18" t="str">
        <f aca="false">Stock_Seguridad!B62</f>
        <v>LECHE VAINILLA LONCOLECHE 12X1LT</v>
      </c>
      <c r="C62" s="18" t="str">
        <f aca="false">Stock_Seguridad!C62</f>
        <v>LECHES LIQUIDAS</v>
      </c>
      <c r="D62" s="18" t="str">
        <f aca="false">Stock_Seguridad!F62</f>
        <v>BY</v>
      </c>
      <c r="E62" s="19" t="str">
        <f aca="false">Stock_Seguridad!X62</f>
        <v>OK</v>
      </c>
      <c r="F62" s="20" t="n">
        <f aca="false">Stock_Seguridad!W62</f>
        <v>2.7328431372549</v>
      </c>
      <c r="G62" s="21" t="n">
        <f aca="false">Stock_Seguridad!T62</f>
        <v>7332</v>
      </c>
      <c r="H62" s="21" t="n">
        <f aca="false">Stock_Seguridad!R62</f>
        <v>6891.37098291145</v>
      </c>
      <c r="I62" s="21" t="n">
        <f aca="false">Stock_Seguridad!S62</f>
        <v>11787.3709829114</v>
      </c>
      <c r="J62" s="21" t="n">
        <f aca="false">Stock_Seguridad!U62</f>
        <v>6048</v>
      </c>
      <c r="K62" s="22" t="n">
        <v>46322</v>
      </c>
      <c r="L62" s="23" t="n">
        <v>180</v>
      </c>
      <c r="M62" s="23" t="n">
        <v>0</v>
      </c>
      <c r="N62" s="23" t="n">
        <v>72</v>
      </c>
      <c r="O62" s="24" t="n">
        <v>0.0640179372197309</v>
      </c>
      <c r="P62" s="24" t="n">
        <f aca="false">IF(ISNUMBER(Stock_Seguridad!N62),Stock_Seguridad!N62,"")</f>
        <v>0.219626168224299</v>
      </c>
      <c r="Q62" s="24" t="n">
        <f aca="false">IF(AND(ISNUMBER(O62),ISNUMBER(P62)),P62-O62,"")</f>
        <v>0.155608231004568</v>
      </c>
      <c r="R62" s="23" t="n">
        <f aca="false">MAX(0,G62-N(L62))</f>
        <v>7152</v>
      </c>
      <c r="S62" s="23" t="n">
        <f aca="false">SUMIFS(Cadenas_vs_FCST!$D$17:$D$652,Cadenas_vs_FCST!$A$17:$A$652,A62)</f>
        <v>19944</v>
      </c>
      <c r="T62" s="23" t="n">
        <f aca="false">SUMIFS(Cadenas_vs_FCST!$E$17:$E$652,Cadenas_vs_FCST!$A$17:$A$652,A62)</f>
        <v>12652.8895677265</v>
      </c>
      <c r="U62" s="24" t="n">
        <f aca="false">IF(T62&gt;0,S62/T62-1,"")</f>
        <v>0.576240738785138</v>
      </c>
      <c r="V62" s="3" t="str">
        <f aca="false">IF(OR(E62="BAJO SS",E62="BAJO SS (XLIB CUBRE)"),"SÍ","")</f>
        <v/>
      </c>
      <c r="W62" s="3" t="str">
        <f aca="false">IF(AND(V62="",N(L62)&gt;=Parametros!$B$17,G62&gt;=H62,R62&lt;H62),"SÍ","")</f>
        <v/>
      </c>
      <c r="X62" s="3" t="str">
        <f aca="false">IF(OR(E62="SOBRE MAX VENDIBLE",N(N62)&gt;=Parametros!$B$17,N(M62)&gt;=Parametros!$B$17),"SÍ","")</f>
        <v/>
      </c>
      <c r="Y62" s="3" t="str">
        <f aca="false">IF(AND(ISNUMBER(U62),MAX(S62,T62)&gt;=Parametros!$B$15,ABS(N(U62))&gt;Parametros!$B$14),"SÍ","")</f>
        <v>SÍ</v>
      </c>
      <c r="Z62" s="3" t="n">
        <f aca="false">COUNTIF(V62:Y62,"SÍ")</f>
        <v>1</v>
      </c>
      <c r="AA62" s="3" t="n">
        <f aca="false">(3*(V62="SÍ")+2*(W62="SÍ")+2*(X62="SÍ")+(Y62="SÍ"))*IF(LEFT(D62,1)="A",3,IF(OR(LEFT(D62,1)="B",D62="SIN HIST"),2,1))</f>
        <v>2</v>
      </c>
      <c r="AB62" s="3" t="str">
        <f aca="false">IF(AA62&gt;=9,"1-ALTA",IF(AA62&gt;=4,"2-MEDIA",IF(AA62&gt;0,"3-BAJA","")))</f>
        <v>3-BAJA</v>
      </c>
      <c r="AC62" s="3" t="str">
        <f aca="false">IF(E62="BAJO SS","Stock + XLIB bajo el SS: riesgo real de quiebre, adelantar producción. ","")&amp;IF(E62="BAJO SS (XLIB CUBRE)","Disponible bajo el SS; depende de liberar "&amp;TEXT(J62,"#,##0")&amp;" kg"&amp;IF(ISNUMBER(K62)," el "&amp;TEXT(K62,"dd-mm"),"")&amp;". ","")&amp;IF(W62="SÍ","Stock parece sano pero "&amp;TEXT(L62,"#,##0")&amp;" kg no pasan filtro "&amp;Stock_Seguridad!O62&amp;": sin ellos queda bajo el SS para esa cadena. ","")&amp;IF(E62="SOBRE MAX VENDIBLE","Sobrestock vs vida útil: frenar producción/activar venta. ","")&amp;IF(N(N62)&gt;=Parametros!$B$17,TEXT(N62,"#,##0")&amp;" kg ya no los acepta ninguna cadena: venta intermedia/liquidación. ","")&amp;IF(N(M62)&gt;=Parametros!$B$17,TEXT(M62,"#,##0")&amp;" kg a punto de salir del filtro: despachar primero (FEFO). ","")&amp;IF(Y62="SÍ","Pedidos "&amp;IF(N(U62)&gt;0,"sobre","bajo")&amp;" FCST "&amp;TEXT(ABS(N(U62)),"0%")&amp;": revisar forecast con KAM.","")</f>
        <v>Pedidos sobre FCST 58%: revisar forecast con KAM.</v>
      </c>
    </row>
    <row r="63" customFormat="false" ht="15" hidden="false" customHeight="false" outlineLevel="0" collapsed="false">
      <c r="A63" s="18" t="n">
        <f aca="false">Stock_Seguridad!A63</f>
        <v>30000307</v>
      </c>
      <c r="B63" s="18" t="str">
        <f aca="false">Stock_Seguridad!B63</f>
        <v>YOGU YOGU PINA 30X200GR</v>
      </c>
      <c r="C63" s="18" t="str">
        <f aca="false">Stock_Seguridad!C63</f>
        <v>LECHES LIQUIDAS</v>
      </c>
      <c r="D63" s="18" t="str">
        <f aca="false">Stock_Seguridad!F63</f>
        <v>CX</v>
      </c>
      <c r="E63" s="19" t="str">
        <f aca="false">Stock_Seguridad!X63</f>
        <v>OK</v>
      </c>
      <c r="F63" s="20" t="n">
        <f aca="false">Stock_Seguridad!W63</f>
        <v>3.25223966466672</v>
      </c>
      <c r="G63" s="21" t="n">
        <f aca="false">Stock_Seguridad!T63</f>
        <v>15828</v>
      </c>
      <c r="H63" s="21" t="n">
        <f aca="false">Stock_Seguridad!R63</f>
        <v>1493.15986419918</v>
      </c>
      <c r="I63" s="21" t="n">
        <f aca="false">Stock_Seguridad!S63</f>
        <v>6359.95986419918</v>
      </c>
      <c r="J63" s="21" t="n">
        <f aca="false">Stock_Seguridad!U63</f>
        <v>0</v>
      </c>
      <c r="K63" s="22"/>
      <c r="L63" s="23" t="n">
        <v>48</v>
      </c>
      <c r="M63" s="23" t="n">
        <v>1266</v>
      </c>
      <c r="N63" s="23" t="n">
        <v>0</v>
      </c>
      <c r="O63" s="24" t="n">
        <v>0.117862305058958</v>
      </c>
      <c r="P63" s="24" t="n">
        <f aca="false">IF(ISNUMBER(Stock_Seguridad!N63),Stock_Seguridad!N63,"")</f>
        <v>0.220408163265306</v>
      </c>
      <c r="Q63" s="24" t="n">
        <f aca="false">IF(AND(ISNUMBER(O63),ISNUMBER(P63)),P63-O63,"")</f>
        <v>0.102545858206348</v>
      </c>
      <c r="R63" s="23" t="n">
        <f aca="false">MAX(0,G63-N(L63))</f>
        <v>15780</v>
      </c>
      <c r="S63" s="23" t="n">
        <f aca="false">SUMIFS(Cadenas_vs_FCST!$D$17:$D$652,Cadenas_vs_FCST!$A$17:$A$652,A63)</f>
        <v>14226</v>
      </c>
      <c r="T63" s="23" t="n">
        <f aca="false">SUMIFS(Cadenas_vs_FCST!$E$17:$E$652,Cadenas_vs_FCST!$A$17:$A$652,A63)</f>
        <v>16885.7271272726</v>
      </c>
      <c r="U63" s="24" t="n">
        <f aca="false">IF(T63&gt;0,S63/T63-1,"")</f>
        <v>-0.157513331065075</v>
      </c>
      <c r="V63" s="3" t="str">
        <f aca="false">IF(OR(E63="BAJO SS",E63="BAJO SS (XLIB CUBRE)"),"SÍ","")</f>
        <v/>
      </c>
      <c r="W63" s="3" t="str">
        <f aca="false">IF(AND(V63="",N(L63)&gt;=Parametros!$B$17,G63&gt;=H63,R63&lt;H63),"SÍ","")</f>
        <v/>
      </c>
      <c r="X63" s="3" t="str">
        <f aca="false">IF(OR(E63="SOBRE MAX VENDIBLE",N(N63)&gt;=Parametros!$B$17,N(M63)&gt;=Parametros!$B$17),"SÍ","")</f>
        <v>SÍ</v>
      </c>
      <c r="Y63" s="3" t="str">
        <f aca="false">IF(AND(ISNUMBER(U63),MAX(S63,T63)&gt;=Parametros!$B$15,ABS(N(U63))&gt;Parametros!$B$14),"SÍ","")</f>
        <v/>
      </c>
      <c r="Z63" s="3" t="n">
        <f aca="false">COUNTIF(V63:Y63,"SÍ")</f>
        <v>1</v>
      </c>
      <c r="AA63" s="3" t="n">
        <f aca="false">(3*(V63="SÍ")+2*(W63="SÍ")+2*(X63="SÍ")+(Y63="SÍ"))*IF(LEFT(D63,1)="A",3,IF(OR(LEFT(D63,1)="B",D63="SIN HIST"),2,1))</f>
        <v>2</v>
      </c>
      <c r="AB63" s="3" t="str">
        <f aca="false">IF(AA63&gt;=9,"1-ALTA",IF(AA63&gt;=4,"2-MEDIA",IF(AA63&gt;0,"3-BAJA","")))</f>
        <v>3-BAJA</v>
      </c>
      <c r="AC63" s="3" t="str">
        <f aca="false">IF(E63="BAJO SS","Stock + XLIB bajo el SS: riesgo real de quiebre, adelantar producción. ","")&amp;IF(E63="BAJO SS (XLIB CUBRE)","Disponible bajo el SS; depende de liberar "&amp;TEXT(J63,"#,##0")&amp;" kg"&amp;IF(ISNUMBER(K63)," el "&amp;TEXT(K63,"dd-mm"),"")&amp;". ","")&amp;IF(W63="SÍ","Stock parece sano pero "&amp;TEXT(L63,"#,##0")&amp;" kg no pasan filtro "&amp;Stock_Seguridad!O63&amp;": sin ellos queda bajo el SS para esa cadena. ","")&amp;IF(E63="SOBRE MAX VENDIBLE","Sobrestock vs vida útil: frenar producción/activar venta. ","")&amp;IF(N(N63)&gt;=Parametros!$B$17,TEXT(N63,"#,##0")&amp;" kg ya no los acepta ninguna cadena: venta intermedia/liquidación. ","")&amp;IF(N(M63)&gt;=Parametros!$B$17,TEXT(M63,"#,##0")&amp;" kg a punto de salir del filtro: despachar primero (FEFO). ","")&amp;IF(Y63="SÍ","Pedidos "&amp;IF(N(U63)&gt;0,"sobre","bajo")&amp;" FCST "&amp;TEXT(ABS(N(U63)),"0%")&amp;": revisar forecast con KAM.","")</f>
        <v>1,266 kg a punto de salir del filtro: despachar primero (FEFO). </v>
      </c>
    </row>
    <row r="64" customFormat="false" ht="15" hidden="false" customHeight="false" outlineLevel="0" collapsed="false">
      <c r="A64" s="18" t="n">
        <f aca="false">Stock_Seguridad!A64</f>
        <v>30002180</v>
      </c>
      <c r="B64" s="18" t="str">
        <f aca="false">Stock_Seguridad!B64</f>
        <v>SHAKE SHAKE MANJAR 30X190ML</v>
      </c>
      <c r="C64" s="18" t="str">
        <f aca="false">Stock_Seguridad!C64</f>
        <v>LECHES LIQUIDAS</v>
      </c>
      <c r="D64" s="18" t="str">
        <f aca="false">Stock_Seguridad!F64</f>
        <v>CX</v>
      </c>
      <c r="E64" s="19" t="str">
        <f aca="false">Stock_Seguridad!X64</f>
        <v>OK</v>
      </c>
      <c r="F64" s="20" t="n">
        <f aca="false">Stock_Seguridad!W64</f>
        <v>4.29837660259829</v>
      </c>
      <c r="G64" s="21" t="n">
        <f aca="false">Stock_Seguridad!T64</f>
        <v>14540.7</v>
      </c>
      <c r="H64" s="21" t="n">
        <f aca="false">Stock_Seguridad!R64</f>
        <v>1884.13460952702</v>
      </c>
      <c r="I64" s="21" t="n">
        <f aca="false">Stock_Seguridad!S64</f>
        <v>6571.83460952702</v>
      </c>
      <c r="J64" s="21" t="n">
        <f aca="false">Stock_Seguridad!U64</f>
        <v>5608.8</v>
      </c>
      <c r="K64" s="22" t="n">
        <v>46319</v>
      </c>
      <c r="L64" s="23" t="n">
        <v>4708.2</v>
      </c>
      <c r="M64" s="23" t="n">
        <v>0</v>
      </c>
      <c r="N64" s="23" t="n">
        <v>0</v>
      </c>
      <c r="O64" s="24" t="n">
        <v>0.0926562942008487</v>
      </c>
      <c r="P64" s="24" t="n">
        <f aca="false">IF(ISNUMBER(Stock_Seguridad!N64),Stock_Seguridad!N64,"")</f>
        <v>0.19</v>
      </c>
      <c r="Q64" s="24" t="n">
        <f aca="false">IF(AND(ISNUMBER(O64),ISNUMBER(P64)),P64-O64,"")</f>
        <v>0.0973437057991513</v>
      </c>
      <c r="R64" s="23" t="n">
        <f aca="false">MAX(0,G64-N(L64))</f>
        <v>9832.5</v>
      </c>
      <c r="S64" s="23" t="n">
        <f aca="false">SUMIFS(Cadenas_vs_FCST!$D$17:$D$652,Cadenas_vs_FCST!$A$17:$A$652,A64)</f>
        <v>10157.4</v>
      </c>
      <c r="T64" s="23" t="n">
        <f aca="false">SUMIFS(Cadenas_vs_FCST!$E$17:$E$652,Cadenas_vs_FCST!$A$17:$A$652,A64)</f>
        <v>16777.4860590093</v>
      </c>
      <c r="U64" s="24" t="n">
        <f aca="false">IF(T64&gt;0,S64/T64-1,"")</f>
        <v>-0.394581526441168</v>
      </c>
      <c r="V64" s="3" t="str">
        <f aca="false">IF(OR(E64="BAJO SS",E64="BAJO SS (XLIB CUBRE)"),"SÍ","")</f>
        <v/>
      </c>
      <c r="W64" s="3" t="str">
        <f aca="false">IF(AND(V64="",N(L64)&gt;=Parametros!$B$17,G64&gt;=H64,R64&lt;H64),"SÍ","")</f>
        <v/>
      </c>
      <c r="X64" s="3" t="str">
        <f aca="false">IF(OR(E64="SOBRE MAX VENDIBLE",N(N64)&gt;=Parametros!$B$17,N(M64)&gt;=Parametros!$B$17),"SÍ","")</f>
        <v/>
      </c>
      <c r="Y64" s="3" t="str">
        <f aca="false">IF(AND(ISNUMBER(U64),MAX(S64,T64)&gt;=Parametros!$B$15,ABS(N(U64))&gt;Parametros!$B$14),"SÍ","")</f>
        <v>SÍ</v>
      </c>
      <c r="Z64" s="3" t="n">
        <f aca="false">COUNTIF(V64:Y64,"SÍ")</f>
        <v>1</v>
      </c>
      <c r="AA64" s="3" t="n">
        <f aca="false">(3*(V64="SÍ")+2*(W64="SÍ")+2*(X64="SÍ")+(Y64="SÍ"))*IF(LEFT(D64,1)="A",3,IF(OR(LEFT(D64,1)="B",D64="SIN HIST"),2,1))</f>
        <v>1</v>
      </c>
      <c r="AB64" s="3" t="str">
        <f aca="false">IF(AA64&gt;=9,"1-ALTA",IF(AA64&gt;=4,"2-MEDIA",IF(AA64&gt;0,"3-BAJA","")))</f>
        <v>3-BAJA</v>
      </c>
      <c r="AC64" s="3" t="str">
        <f aca="false">IF(E64="BAJO SS","Stock + XLIB bajo el SS: riesgo real de quiebre, adelantar producción. ","")&amp;IF(E64="BAJO SS (XLIB CUBRE)","Disponible bajo el SS; depende de liberar "&amp;TEXT(J64,"#,##0")&amp;" kg"&amp;IF(ISNUMBER(K64)," el "&amp;TEXT(K64,"dd-mm"),"")&amp;". ","")&amp;IF(W64="SÍ","Stock parece sano pero "&amp;TEXT(L64,"#,##0")&amp;" kg no pasan filtro "&amp;Stock_Seguridad!O64&amp;": sin ellos queda bajo el SS para esa cadena. ","")&amp;IF(E64="SOBRE MAX VENDIBLE","Sobrestock vs vida útil: frenar producción/activar venta. ","")&amp;IF(N(N64)&gt;=Parametros!$B$17,TEXT(N64,"#,##0")&amp;" kg ya no los acepta ninguna cadena: venta intermedia/liquidación. ","")&amp;IF(N(M64)&gt;=Parametros!$B$17,TEXT(M64,"#,##0")&amp;" kg a punto de salir del filtro: despachar primero (FEFO). ","")&amp;IF(Y64="SÍ","Pedidos "&amp;IF(N(U64)&gt;0,"sobre","bajo")&amp;" FCST "&amp;TEXT(ABS(N(U64)),"0%")&amp;": revisar forecast con KAM.","")</f>
        <v>Pedidos bajo FCST 39%: revisar forecast con KAM.</v>
      </c>
    </row>
    <row r="65" customFormat="false" ht="15" hidden="false" customHeight="false" outlineLevel="0" collapsed="false">
      <c r="A65" s="18" t="n">
        <f aca="false">Stock_Seguridad!A65</f>
        <v>30001376</v>
      </c>
      <c r="B65" s="18" t="str">
        <f aca="false">Stock_Seguridad!B65</f>
        <v>LECHE LONCO FULL PROTEIN CHOCOLATE18X250</v>
      </c>
      <c r="C65" s="18" t="str">
        <f aca="false">Stock_Seguridad!C65</f>
        <v>LECHES LIQUIDAS</v>
      </c>
      <c r="D65" s="18" t="str">
        <f aca="false">Stock_Seguridad!F65</f>
        <v>CX</v>
      </c>
      <c r="E65" s="19" t="str">
        <f aca="false">Stock_Seguridad!X65</f>
        <v>OK</v>
      </c>
      <c r="F65" s="20" t="n">
        <f aca="false">Stock_Seguridad!W65</f>
        <v>2.47398212733715</v>
      </c>
      <c r="G65" s="21" t="n">
        <f aca="false">Stock_Seguridad!T65</f>
        <v>11101.5</v>
      </c>
      <c r="H65" s="21" t="n">
        <f aca="false">Stock_Seguridad!R65</f>
        <v>1021.15853893956</v>
      </c>
      <c r="I65" s="21" t="n">
        <f aca="false">Stock_Seguridad!S65</f>
        <v>5508.45853893956</v>
      </c>
      <c r="J65" s="21" t="n">
        <f aca="false">Stock_Seguridad!U65</f>
        <v>0</v>
      </c>
      <c r="K65" s="22"/>
      <c r="L65" s="23" t="n">
        <v>945</v>
      </c>
      <c r="M65" s="23" t="n">
        <v>0</v>
      </c>
      <c r="N65" s="23" t="n">
        <v>756</v>
      </c>
      <c r="O65" s="24" t="n">
        <v>0.133237322515213</v>
      </c>
      <c r="P65" s="24" t="n">
        <f aca="false">IF(ISNUMBER(Stock_Seguridad!N65),Stock_Seguridad!N65,"")</f>
        <v>0.211640211640212</v>
      </c>
      <c r="Q65" s="24" t="n">
        <f aca="false">IF(AND(ISNUMBER(O65),ISNUMBER(P65)),P65-O65,"")</f>
        <v>0.0784028891249986</v>
      </c>
      <c r="R65" s="23" t="n">
        <f aca="false">MAX(0,G65-N(L65))</f>
        <v>10156.5</v>
      </c>
      <c r="S65" s="23" t="n">
        <f aca="false">SUMIFS(Cadenas_vs_FCST!$D$17:$D$652,Cadenas_vs_FCST!$A$17:$A$652,A65)</f>
        <v>16731</v>
      </c>
      <c r="T65" s="23" t="n">
        <f aca="false">SUMIFS(Cadenas_vs_FCST!$E$17:$E$652,Cadenas_vs_FCST!$A$17:$A$652,A65)</f>
        <v>17029.6183492121</v>
      </c>
      <c r="U65" s="24" t="n">
        <f aca="false">IF(T65&gt;0,S65/T65-1,"")</f>
        <v>-0.0175352343833285</v>
      </c>
      <c r="V65" s="3" t="str">
        <f aca="false">IF(OR(E65="BAJO SS",E65="BAJO SS (XLIB CUBRE)"),"SÍ","")</f>
        <v/>
      </c>
      <c r="W65" s="3" t="str">
        <f aca="false">IF(AND(V65="",N(L65)&gt;=Parametros!$B$17,G65&gt;=H65,R65&lt;H65),"SÍ","")</f>
        <v/>
      </c>
      <c r="X65" s="3" t="str">
        <f aca="false">IF(OR(E65="SOBRE MAX VENDIBLE",N(N65)&gt;=Parametros!$B$17,N(M65)&gt;=Parametros!$B$17),"SÍ","")</f>
        <v>SÍ</v>
      </c>
      <c r="Y65" s="3" t="str">
        <f aca="false">IF(AND(ISNUMBER(U65),MAX(S65,T65)&gt;=Parametros!$B$15,ABS(N(U65))&gt;Parametros!$B$14),"SÍ","")</f>
        <v/>
      </c>
      <c r="Z65" s="3" t="n">
        <f aca="false">COUNTIF(V65:Y65,"SÍ")</f>
        <v>1</v>
      </c>
      <c r="AA65" s="3" t="n">
        <f aca="false">(3*(V65="SÍ")+2*(W65="SÍ")+2*(X65="SÍ")+(Y65="SÍ"))*IF(LEFT(D65,1)="A",3,IF(OR(LEFT(D65,1)="B",D65="SIN HIST"),2,1))</f>
        <v>2</v>
      </c>
      <c r="AB65" s="3" t="str">
        <f aca="false">IF(AA65&gt;=9,"1-ALTA",IF(AA65&gt;=4,"2-MEDIA",IF(AA65&gt;0,"3-BAJA","")))</f>
        <v>3-BAJA</v>
      </c>
      <c r="AC65" s="3" t="str">
        <f aca="false">IF(E65="BAJO SS","Stock + XLIB bajo el SS: riesgo real de quiebre, adelantar producción. ","")&amp;IF(E65="BAJO SS (XLIB CUBRE)","Disponible bajo el SS; depende de liberar "&amp;TEXT(J65,"#,##0")&amp;" kg"&amp;IF(ISNUMBER(K65)," el "&amp;TEXT(K65,"dd-mm"),"")&amp;". ","")&amp;IF(W65="SÍ","Stock parece sano pero "&amp;TEXT(L65,"#,##0")&amp;" kg no pasan filtro "&amp;Stock_Seguridad!O65&amp;": sin ellos queda bajo el SS para esa cadena. ","")&amp;IF(E65="SOBRE MAX VENDIBLE","Sobrestock vs vida útil: frenar producción/activar venta. ","")&amp;IF(N(N65)&gt;=Parametros!$B$17,TEXT(N65,"#,##0")&amp;" kg ya no los acepta ninguna cadena: venta intermedia/liquidación. ","")&amp;IF(N(M65)&gt;=Parametros!$B$17,TEXT(M65,"#,##0")&amp;" kg a punto de salir del filtro: despachar primero (FEFO). ","")&amp;IF(Y65="SÍ","Pedidos "&amp;IF(N(U65)&gt;0,"sobre","bajo")&amp;" FCST "&amp;TEXT(ABS(N(U65)),"0%")&amp;": revisar forecast con KAM.","")</f>
        <v>756 kg ya no los acepta ninguna cadena: venta intermedia/liquidación. </v>
      </c>
    </row>
    <row r="66" customFormat="false" ht="15" hidden="false" customHeight="false" outlineLevel="0" collapsed="false">
      <c r="A66" s="18" t="n">
        <f aca="false">Stock_Seguridad!A66</f>
        <v>30001405</v>
      </c>
      <c r="B66" s="18" t="str">
        <f aca="false">Stock_Seguridad!B66</f>
        <v>LECHE BREAK CARAMEL LONCO 18X250ML</v>
      </c>
      <c r="C66" s="18" t="str">
        <f aca="false">Stock_Seguridad!C66</f>
        <v>LECHES LIQUIDAS</v>
      </c>
      <c r="D66" s="18" t="str">
        <f aca="false">Stock_Seguridad!F66</f>
        <v>BX</v>
      </c>
      <c r="E66" s="19" t="str">
        <f aca="false">Stock_Seguridad!X66</f>
        <v>BAJO SS (XLIB CUBRE)</v>
      </c>
      <c r="F66" s="20" t="n">
        <f aca="false">Stock_Seguridad!W66</f>
        <v>3.70162956162497</v>
      </c>
      <c r="G66" s="21" t="n">
        <f aca="false">Stock_Seguridad!T66</f>
        <v>1800</v>
      </c>
      <c r="H66" s="21" t="n">
        <f aca="false">Stock_Seguridad!R66</f>
        <v>1861.27275431089</v>
      </c>
      <c r="I66" s="21" t="n">
        <f aca="false">Stock_Seguridad!S66</f>
        <v>6218.27275431089</v>
      </c>
      <c r="J66" s="21" t="n">
        <f aca="false">Stock_Seguridad!U66</f>
        <v>14328</v>
      </c>
      <c r="K66" s="22" t="n">
        <v>46321</v>
      </c>
      <c r="L66" s="23" t="n">
        <v>225</v>
      </c>
      <c r="M66" s="23" t="n">
        <v>1566</v>
      </c>
      <c r="N66" s="23" t="n">
        <v>0</v>
      </c>
      <c r="O66" s="24" t="n">
        <v>0.019034059184813</v>
      </c>
      <c r="P66" s="24" t="n">
        <f aca="false">IF(ISNUMBER(Stock_Seguridad!N66),Stock_Seguridad!N66,"")</f>
        <v>0.208</v>
      </c>
      <c r="Q66" s="24" t="n">
        <f aca="false">IF(AND(ISNUMBER(O66),ISNUMBER(P66)),P66-O66,"")</f>
        <v>0.188965940815187</v>
      </c>
      <c r="R66" s="23" t="n">
        <f aca="false">MAX(0,G66-N(L66))</f>
        <v>1575</v>
      </c>
      <c r="S66" s="23" t="n">
        <f aca="false">SUMIFS(Cadenas_vs_FCST!$D$17:$D$652,Cadenas_vs_FCST!$A$17:$A$652,A66)</f>
        <v>17856</v>
      </c>
      <c r="T66" s="23" t="n">
        <f aca="false">SUMIFS(Cadenas_vs_FCST!$E$17:$E$652,Cadenas_vs_FCST!$A$17:$A$652,A66)</f>
        <v>14799.5899476893</v>
      </c>
      <c r="U66" s="24" t="n">
        <f aca="false">IF(T66&gt;0,S66/T66-1,"")</f>
        <v>0.20651991461344</v>
      </c>
      <c r="V66" s="3" t="str">
        <f aca="false">IF(OR(E66="BAJO SS",E66="BAJO SS (XLIB CUBRE)"),"SÍ","")</f>
        <v>SÍ</v>
      </c>
      <c r="W66" s="3" t="str">
        <f aca="false">IF(AND(V66="",N(L66)&gt;=Parametros!$B$17,G66&gt;=H66,R66&lt;H66),"SÍ","")</f>
        <v/>
      </c>
      <c r="X66" s="3" t="str">
        <f aca="false">IF(OR(E66="SOBRE MAX VENDIBLE",N(N66)&gt;=Parametros!$B$17,N(M66)&gt;=Parametros!$B$17),"SÍ","")</f>
        <v>SÍ</v>
      </c>
      <c r="Y66" s="3" t="str">
        <f aca="false">IF(AND(ISNUMBER(U66),MAX(S66,T66)&gt;=Parametros!$B$15,ABS(N(U66))&gt;Parametros!$B$14),"SÍ","")</f>
        <v>SÍ</v>
      </c>
      <c r="Z66" s="3" t="n">
        <f aca="false">COUNTIF(V66:Y66,"SÍ")</f>
        <v>3</v>
      </c>
      <c r="AA66" s="3" t="n">
        <f aca="false">(3*(V66="SÍ")+2*(W66="SÍ")+2*(X66="SÍ")+(Y66="SÍ"))*IF(LEFT(D66,1)="A",3,IF(OR(LEFT(D66,1)="B",D66="SIN HIST"),2,1))</f>
        <v>12</v>
      </c>
      <c r="AB66" s="3" t="str">
        <f aca="false">IF(AA66&gt;=9,"1-ALTA",IF(AA66&gt;=4,"2-MEDIA",IF(AA66&gt;0,"3-BAJA","")))</f>
        <v>1-ALTA</v>
      </c>
      <c r="AC66" s="3" t="str">
        <f aca="false">IF(E66="BAJO SS","Stock + XLIB bajo el SS: riesgo real de quiebre, adelantar producción. ","")&amp;IF(E66="BAJO SS (XLIB CUBRE)","Disponible bajo el SS; depende de liberar "&amp;TEXT(J66,"#,##0")&amp;" kg"&amp;IF(ISNUMBER(K66)," el "&amp;TEXT(K66,"dd-mm"),"")&amp;". ","")&amp;IF(W66="SÍ","Stock parece sano pero "&amp;TEXT(L66,"#,##0")&amp;" kg no pasan filtro "&amp;Stock_Seguridad!O66&amp;": sin ellos queda bajo el SS para esa cadena. ","")&amp;IF(E66="SOBRE MAX VENDIBLE","Sobrestock vs vida útil: frenar producción/activar venta. ","")&amp;IF(N(N66)&gt;=Parametros!$B$17,TEXT(N66,"#,##0")&amp;" kg ya no los acepta ninguna cadena: venta intermedia/liquidación. ","")&amp;IF(N(M66)&gt;=Parametros!$B$17,TEXT(M66,"#,##0")&amp;" kg a punto de salir del filtro: despachar primero (FEFO). ","")&amp;IF(Y66="SÍ","Pedidos "&amp;IF(N(U66)&gt;0,"sobre","bajo")&amp;" FCST "&amp;TEXT(ABS(N(U66)),"0%")&amp;": revisar forecast con KAM.","")</f>
        <v>Disponible bajo el SS; depende de liberar 14,328 kg el 26-10. 1,566 kg a punto de salir del filtro: despachar primero (FEFO). Pedidos sobre FCST 21%: revisar forecast con KAM.</v>
      </c>
    </row>
    <row r="67" customFormat="false" ht="15" hidden="false" customHeight="false" outlineLevel="0" collapsed="false">
      <c r="A67" s="18" t="n">
        <f aca="false">Stock_Seguridad!A67</f>
        <v>30000351</v>
      </c>
      <c r="B67" s="18" t="str">
        <f aca="false">Stock_Seguridad!B67</f>
        <v>LECHE VAINILLA 30X200ML</v>
      </c>
      <c r="C67" s="18" t="str">
        <f aca="false">Stock_Seguridad!C67</f>
        <v>LECHES LIQUIDAS</v>
      </c>
      <c r="D67" s="18" t="str">
        <f aca="false">Stock_Seguridad!F67</f>
        <v>BX</v>
      </c>
      <c r="E67" s="19" t="str">
        <f aca="false">Stock_Seguridad!X67</f>
        <v>SOBRE MAX VENDIBLE</v>
      </c>
      <c r="F67" s="20" t="n">
        <f aca="false">Stock_Seguridad!W67</f>
        <v>8.77254298895568</v>
      </c>
      <c r="G67" s="21" t="n">
        <f aca="false">Stock_Seguridad!T67</f>
        <v>16116</v>
      </c>
      <c r="H67" s="21" t="n">
        <f aca="false">Stock_Seguridad!R67</f>
        <v>1474.69939131818</v>
      </c>
      <c r="I67" s="21" t="n">
        <f aca="false">Stock_Seguridad!S67</f>
        <v>5766.49939131818</v>
      </c>
      <c r="J67" s="21" t="n">
        <f aca="false">Stock_Seguridad!U67</f>
        <v>21534</v>
      </c>
      <c r="K67" s="22" t="n">
        <v>46321</v>
      </c>
      <c r="L67" s="23" t="n">
        <v>228</v>
      </c>
      <c r="M67" s="23" t="n">
        <v>15186</v>
      </c>
      <c r="N67" s="23" t="n">
        <v>78</v>
      </c>
      <c r="O67" s="24" t="n">
        <v>0.0800958103280286</v>
      </c>
      <c r="P67" s="24" t="n">
        <f aca="false">IF(ISNUMBER(Stock_Seguridad!N67),Stock_Seguridad!N67,"")</f>
        <v>0.238317757009346</v>
      </c>
      <c r="Q67" s="24" t="n">
        <f aca="false">IF(AND(ISNUMBER(O67),ISNUMBER(P67)),P67-O67,"")</f>
        <v>0.158221946681317</v>
      </c>
      <c r="R67" s="23" t="n">
        <f aca="false">MAX(0,G67-N(L67))</f>
        <v>15888</v>
      </c>
      <c r="S67" s="23" t="n">
        <f aca="false">SUMIFS(Cadenas_vs_FCST!$D$17:$D$652,Cadenas_vs_FCST!$A$17:$A$652,A67)</f>
        <v>17784</v>
      </c>
      <c r="T67" s="23" t="n">
        <f aca="false">SUMIFS(Cadenas_vs_FCST!$E$17:$E$652,Cadenas_vs_FCST!$A$17:$A$652,A67)</f>
        <v>15971.1822893119</v>
      </c>
      <c r="U67" s="24" t="n">
        <f aca="false">IF(T67&gt;0,S67/T67-1,"")</f>
        <v>0.113505542535896</v>
      </c>
      <c r="V67" s="3" t="str">
        <f aca="false">IF(OR(E67="BAJO SS",E67="BAJO SS (XLIB CUBRE)"),"SÍ","")</f>
        <v/>
      </c>
      <c r="W67" s="3" t="str">
        <f aca="false">IF(AND(V67="",N(L67)&gt;=Parametros!$B$17,G67&gt;=H67,R67&lt;H67),"SÍ","")</f>
        <v/>
      </c>
      <c r="X67" s="3" t="str">
        <f aca="false">IF(OR(E67="SOBRE MAX VENDIBLE",N(N67)&gt;=Parametros!$B$17,N(M67)&gt;=Parametros!$B$17),"SÍ","")</f>
        <v>SÍ</v>
      </c>
      <c r="Y67" s="3" t="str">
        <f aca="false">IF(AND(ISNUMBER(U67),MAX(S67,T67)&gt;=Parametros!$B$15,ABS(N(U67))&gt;Parametros!$B$14),"SÍ","")</f>
        <v/>
      </c>
      <c r="Z67" s="3" t="n">
        <f aca="false">COUNTIF(V67:Y67,"SÍ")</f>
        <v>1</v>
      </c>
      <c r="AA67" s="3" t="n">
        <f aca="false">(3*(V67="SÍ")+2*(W67="SÍ")+2*(X67="SÍ")+(Y67="SÍ"))*IF(LEFT(D67,1)="A",3,IF(OR(LEFT(D67,1)="B",D67="SIN HIST"),2,1))</f>
        <v>4</v>
      </c>
      <c r="AB67" s="3" t="str">
        <f aca="false">IF(AA67&gt;=9,"1-ALTA",IF(AA67&gt;=4,"2-MEDIA",IF(AA67&gt;0,"3-BAJA","")))</f>
        <v>2-MEDIA</v>
      </c>
      <c r="AC67" s="3" t="str">
        <f aca="false">IF(E67="BAJO SS","Stock + XLIB bajo el SS: riesgo real de quiebre, adelantar producción. ","")&amp;IF(E67="BAJO SS (XLIB CUBRE)","Disponible bajo el SS; depende de liberar "&amp;TEXT(J67,"#,##0")&amp;" kg"&amp;IF(ISNUMBER(K67)," el "&amp;TEXT(K67,"dd-mm"),"")&amp;". ","")&amp;IF(W67="SÍ","Stock parece sano pero "&amp;TEXT(L67,"#,##0")&amp;" kg no pasan filtro "&amp;Stock_Seguridad!O67&amp;": sin ellos queda bajo el SS para esa cadena. ","")&amp;IF(E67="SOBRE MAX VENDIBLE","Sobrestock vs vida útil: frenar producción/activar venta. ","")&amp;IF(N(N67)&gt;=Parametros!$B$17,TEXT(N67,"#,##0")&amp;" kg ya no los acepta ninguna cadena: venta intermedia/liquidación. ","")&amp;IF(N(M67)&gt;=Parametros!$B$17,TEXT(M67,"#,##0")&amp;" kg a punto de salir del filtro: despachar primero (FEFO). ","")&amp;IF(Y67="SÍ","Pedidos "&amp;IF(N(U67)&gt;0,"sobre","bajo")&amp;" FCST "&amp;TEXT(ABS(N(U67)),"0%")&amp;": revisar forecast con KAM.","")</f>
        <v>Sobrestock vs vida útil: frenar producción/activar venta. 15,186 kg a punto de salir del filtro: despachar primero (FEFO). </v>
      </c>
    </row>
    <row r="68" customFormat="false" ht="15" hidden="false" customHeight="false" outlineLevel="0" collapsed="false">
      <c r="A68" s="18" t="n">
        <f aca="false">Stock_Seguridad!A68</f>
        <v>30000360</v>
      </c>
      <c r="B68" s="18" t="str">
        <f aca="false">Stock_Seguridad!B68</f>
        <v>LECHE S/LACT EXTRA CALCIO 12X1LT</v>
      </c>
      <c r="C68" s="18" t="str">
        <f aca="false">Stock_Seguridad!C68</f>
        <v>LECHES LIQUIDAS</v>
      </c>
      <c r="D68" s="18" t="str">
        <f aca="false">Stock_Seguridad!F68</f>
        <v>BY</v>
      </c>
      <c r="E68" s="19" t="str">
        <f aca="false">Stock_Seguridad!X68</f>
        <v>OK</v>
      </c>
      <c r="F68" s="20" t="n">
        <f aca="false">Stock_Seguridad!W68</f>
        <v>6.2955615573986</v>
      </c>
      <c r="G68" s="21" t="n">
        <f aca="false">Stock_Seguridad!T68</f>
        <v>13308</v>
      </c>
      <c r="H68" s="21" t="n">
        <f aca="false">Stock_Seguridad!R68</f>
        <v>4397.92114772304</v>
      </c>
      <c r="I68" s="21" t="n">
        <f aca="false">Stock_Seguridad!S68</f>
        <v>8581.82114772304</v>
      </c>
      <c r="J68" s="21" t="n">
        <f aca="false">Stock_Seguridad!U68</f>
        <v>13032</v>
      </c>
      <c r="K68" s="22" t="n">
        <v>46319</v>
      </c>
      <c r="L68" s="23" t="n">
        <v>0</v>
      </c>
      <c r="M68" s="23" t="n">
        <v>1020</v>
      </c>
      <c r="N68" s="23" t="n">
        <v>0</v>
      </c>
      <c r="O68" s="24" t="n">
        <v>0.0848381212950297</v>
      </c>
      <c r="P68" s="24" t="n">
        <f aca="false">IF(ISNUMBER(Stock_Seguridad!N68),Stock_Seguridad!N68,"")</f>
        <v>0.259259259259259</v>
      </c>
      <c r="Q68" s="24" t="n">
        <f aca="false">IF(AND(ISNUMBER(O68),ISNUMBER(P68)),P68-O68,"")</f>
        <v>0.17442113796423</v>
      </c>
      <c r="R68" s="23" t="n">
        <f aca="false">MAX(0,G68-N(L68))</f>
        <v>13308</v>
      </c>
      <c r="S68" s="23" t="n">
        <f aca="false">SUMIFS(Cadenas_vs_FCST!$D$17:$D$652,Cadenas_vs_FCST!$A$17:$A$652,A68)</f>
        <v>18804</v>
      </c>
      <c r="T68" s="23" t="n">
        <f aca="false">SUMIFS(Cadenas_vs_FCST!$E$17:$E$652,Cadenas_vs_FCST!$A$17:$A$652,A68)</f>
        <v>17771.2930692532</v>
      </c>
      <c r="U68" s="24" t="n">
        <f aca="false">IF(T68&gt;0,S68/T68-1,"")</f>
        <v>0.0581109616909932</v>
      </c>
      <c r="V68" s="3" t="str">
        <f aca="false">IF(OR(E68="BAJO SS",E68="BAJO SS (XLIB CUBRE)"),"SÍ","")</f>
        <v/>
      </c>
      <c r="W68" s="3" t="str">
        <f aca="false">IF(AND(V68="",N(L68)&gt;=Parametros!$B$17,G68&gt;=H68,R68&lt;H68),"SÍ","")</f>
        <v/>
      </c>
      <c r="X68" s="3" t="str">
        <f aca="false">IF(OR(E68="SOBRE MAX VENDIBLE",N(N68)&gt;=Parametros!$B$17,N(M68)&gt;=Parametros!$B$17),"SÍ","")</f>
        <v>SÍ</v>
      </c>
      <c r="Y68" s="3" t="str">
        <f aca="false">IF(AND(ISNUMBER(U68),MAX(S68,T68)&gt;=Parametros!$B$15,ABS(N(U68))&gt;Parametros!$B$14),"SÍ","")</f>
        <v/>
      </c>
      <c r="Z68" s="3" t="n">
        <f aca="false">COUNTIF(V68:Y68,"SÍ")</f>
        <v>1</v>
      </c>
      <c r="AA68" s="3" t="n">
        <f aca="false">(3*(V68="SÍ")+2*(W68="SÍ")+2*(X68="SÍ")+(Y68="SÍ"))*IF(LEFT(D68,1)="A",3,IF(OR(LEFT(D68,1)="B",D68="SIN HIST"),2,1))</f>
        <v>4</v>
      </c>
      <c r="AB68" s="3" t="str">
        <f aca="false">IF(AA68&gt;=9,"1-ALTA",IF(AA68&gt;=4,"2-MEDIA",IF(AA68&gt;0,"3-BAJA","")))</f>
        <v>2-MEDIA</v>
      </c>
      <c r="AC68" s="3" t="str">
        <f aca="false">IF(E68="BAJO SS","Stock + XLIB bajo el SS: riesgo real de quiebre, adelantar producción. ","")&amp;IF(E68="BAJO SS (XLIB CUBRE)","Disponible bajo el SS; depende de liberar "&amp;TEXT(J68,"#,##0")&amp;" kg"&amp;IF(ISNUMBER(K68)," el "&amp;TEXT(K68,"dd-mm"),"")&amp;". ","")&amp;IF(W68="SÍ","Stock parece sano pero "&amp;TEXT(L68,"#,##0")&amp;" kg no pasan filtro "&amp;Stock_Seguridad!O68&amp;": sin ellos queda bajo el SS para esa cadena. ","")&amp;IF(E68="SOBRE MAX VENDIBLE","Sobrestock vs vida útil: frenar producción/activar venta. ","")&amp;IF(N(N68)&gt;=Parametros!$B$17,TEXT(N68,"#,##0")&amp;" kg ya no los acepta ninguna cadena: venta intermedia/liquidación. ","")&amp;IF(N(M68)&gt;=Parametros!$B$17,TEXT(M68,"#,##0")&amp;" kg a punto de salir del filtro: despachar primero (FEFO). ","")&amp;IF(Y68="SÍ","Pedidos "&amp;IF(N(U68)&gt;0,"sobre","bajo")&amp;" FCST "&amp;TEXT(ABS(N(U68)),"0%")&amp;": revisar forecast con KAM.","")</f>
        <v>1,020 kg a punto de salir del filtro: despachar primero (FEFO). </v>
      </c>
    </row>
    <row r="69" customFormat="false" ht="15" hidden="false" customHeight="false" outlineLevel="0" collapsed="false">
      <c r="A69" s="18" t="n">
        <f aca="false">Stock_Seguridad!A69</f>
        <v>30001980</v>
      </c>
      <c r="B69" s="18" t="str">
        <f aca="false">Stock_Seguridad!B69</f>
        <v>LECHE FULL PRO CAPPUCCINO LONCO 18X250ML</v>
      </c>
      <c r="C69" s="18" t="str">
        <f aca="false">Stock_Seguridad!C69</f>
        <v>LECHES LIQUIDAS</v>
      </c>
      <c r="D69" s="18" t="str">
        <f aca="false">Stock_Seguridad!F69</f>
        <v>BX</v>
      </c>
      <c r="E69" s="19" t="str">
        <f aca="false">Stock_Seguridad!X69</f>
        <v>OK</v>
      </c>
      <c r="F69" s="20" t="n">
        <f aca="false">Stock_Seguridad!W69</f>
        <v>5.46908315565032</v>
      </c>
      <c r="G69" s="21" t="n">
        <f aca="false">Stock_Seguridad!T69</f>
        <v>22572</v>
      </c>
      <c r="H69" s="21" t="n">
        <f aca="false">Stock_Seguridad!R69</f>
        <v>1657.98671294595</v>
      </c>
      <c r="I69" s="21" t="n">
        <f aca="false">Stock_Seguridad!S69</f>
        <v>5785.18671294595</v>
      </c>
      <c r="J69" s="21" t="n">
        <f aca="false">Stock_Seguridad!U69</f>
        <v>0</v>
      </c>
      <c r="K69" s="22"/>
      <c r="L69" s="23" t="n">
        <v>0</v>
      </c>
      <c r="M69" s="23" t="n">
        <v>54</v>
      </c>
      <c r="N69" s="23" t="n">
        <v>0</v>
      </c>
      <c r="O69" s="24" t="n">
        <v>0.0602830940988836</v>
      </c>
      <c r="P69" s="24" t="n">
        <f aca="false">IF(ISNUMBER(Stock_Seguridad!N69),Stock_Seguridad!N69,"")</f>
        <v>0.306878306878307</v>
      </c>
      <c r="Q69" s="24" t="n">
        <f aca="false">IF(AND(ISNUMBER(O69),ISNUMBER(P69)),P69-O69,"")</f>
        <v>0.246595212779423</v>
      </c>
      <c r="R69" s="23" t="n">
        <f aca="false">MAX(0,G69-N(L69))</f>
        <v>22572</v>
      </c>
      <c r="S69" s="23" t="n">
        <f aca="false">SUMIFS(Cadenas_vs_FCST!$D$17:$D$652,Cadenas_vs_FCST!$A$17:$A$652,A69)</f>
        <v>18526.5</v>
      </c>
      <c r="T69" s="23" t="n">
        <f aca="false">SUMIFS(Cadenas_vs_FCST!$E$17:$E$652,Cadenas_vs_FCST!$A$17:$A$652,A69)</f>
        <v>18554.1580623556</v>
      </c>
      <c r="U69" s="24" t="n">
        <f aca="false">IF(T69&gt;0,S69/T69-1,"")</f>
        <v>-0.00149066652675112</v>
      </c>
      <c r="V69" s="3" t="str">
        <f aca="false">IF(OR(E69="BAJO SS",E69="BAJO SS (XLIB CUBRE)"),"SÍ","")</f>
        <v/>
      </c>
      <c r="W69" s="3" t="str">
        <f aca="false">IF(AND(V69="",N(L69)&gt;=Parametros!$B$17,G69&gt;=H69,R69&lt;H69),"SÍ","")</f>
        <v/>
      </c>
      <c r="X69" s="3" t="str">
        <f aca="false">IF(OR(E69="SOBRE MAX VENDIBLE",N(N69)&gt;=Parametros!$B$17,N(M69)&gt;=Parametros!$B$17),"SÍ","")</f>
        <v/>
      </c>
      <c r="Y69" s="3" t="str">
        <f aca="false">IF(AND(ISNUMBER(U69),MAX(S69,T69)&gt;=Parametros!$B$15,ABS(N(U69))&gt;Parametros!$B$14),"SÍ","")</f>
        <v/>
      </c>
      <c r="Z69" s="3" t="n">
        <f aca="false">COUNTIF(V69:Y69,"SÍ")</f>
        <v>0</v>
      </c>
      <c r="AA69" s="3" t="n">
        <f aca="false">(3*(V69="SÍ")+2*(W69="SÍ")+2*(X69="SÍ")+(Y69="SÍ"))*IF(LEFT(D69,1)="A",3,IF(OR(LEFT(D69,1)="B",D69="SIN HIST"),2,1))</f>
        <v>0</v>
      </c>
      <c r="AB69" s="3" t="str">
        <f aca="false">IF(AA69&gt;=9,"1-ALTA",IF(AA69&gt;=4,"2-MEDIA",IF(AA69&gt;0,"3-BAJA","")))</f>
        <v/>
      </c>
      <c r="AC69" s="3" t="str">
        <f aca="false">IF(E69="BAJO SS","Stock + XLIB bajo el SS: riesgo real de quiebre, adelantar producción. ","")&amp;IF(E69="BAJO SS (XLIB CUBRE)","Disponible bajo el SS; depende de liberar "&amp;TEXT(J69,"#,##0")&amp;" kg"&amp;IF(ISNUMBER(K69)," el "&amp;TEXT(K69,"dd-mm"),"")&amp;". ","")&amp;IF(W69="SÍ","Stock parece sano pero "&amp;TEXT(L69,"#,##0")&amp;" kg no pasan filtro "&amp;Stock_Seguridad!O69&amp;": sin ellos queda bajo el SS para esa cadena. ","")&amp;IF(E69="SOBRE MAX VENDIBLE","Sobrestock vs vida útil: frenar producción/activar venta. ","")&amp;IF(N(N69)&gt;=Parametros!$B$17,TEXT(N69,"#,##0")&amp;" kg ya no los acepta ninguna cadena: venta intermedia/liquidación. ","")&amp;IF(N(M69)&gt;=Parametros!$B$17,TEXT(M69,"#,##0")&amp;" kg a punto de salir del filtro: despachar primero (FEFO). ","")&amp;IF(Y69="SÍ","Pedidos "&amp;IF(N(U69)&gt;0,"sobre","bajo")&amp;" FCST "&amp;TEXT(ABS(N(U69)),"0%")&amp;": revisar forecast con KAM.","")</f>
        <v/>
      </c>
    </row>
    <row r="70" customFormat="false" ht="15" hidden="false" customHeight="false" outlineLevel="0" collapsed="false">
      <c r="A70" s="18" t="n">
        <f aca="false">Stock_Seguridad!A70</f>
        <v>30001992</v>
      </c>
      <c r="B70" s="18" t="str">
        <f aca="false">Stock_Seguridad!B70</f>
        <v>LECHE LONCOLECHE BREAK CARAMEL 12X1LT</v>
      </c>
      <c r="C70" s="18" t="str">
        <f aca="false">Stock_Seguridad!C70</f>
        <v>LECHES LIQUIDAS</v>
      </c>
      <c r="D70" s="18" t="str">
        <f aca="false">Stock_Seguridad!F70</f>
        <v>CX</v>
      </c>
      <c r="E70" s="19" t="str">
        <f aca="false">Stock_Seguridad!X70</f>
        <v>OK</v>
      </c>
      <c r="F70" s="20" t="n">
        <f aca="false">Stock_Seguridad!W70</f>
        <v>6.11402157164869</v>
      </c>
      <c r="G70" s="21" t="n">
        <f aca="false">Stock_Seguridad!T70</f>
        <v>9468</v>
      </c>
      <c r="H70" s="21" t="n">
        <f aca="false">Stock_Seguridad!R70</f>
        <v>1430.02712891212</v>
      </c>
      <c r="I70" s="21" t="n">
        <f aca="false">Stock_Seguridad!S70</f>
        <v>5324.02712891212</v>
      </c>
      <c r="J70" s="21" t="n">
        <f aca="false">Stock_Seguridad!U70</f>
        <v>14340</v>
      </c>
      <c r="K70" s="22" t="n">
        <v>46317</v>
      </c>
      <c r="L70" s="23" t="n">
        <v>576</v>
      </c>
      <c r="M70" s="23" t="n">
        <v>444</v>
      </c>
      <c r="N70" s="23" t="n">
        <v>348</v>
      </c>
      <c r="O70" s="24" t="n">
        <v>0.0666885080645161</v>
      </c>
      <c r="P70" s="24" t="n">
        <f aca="false">IF(ISNUMBER(Stock_Seguridad!N70),Stock_Seguridad!N70,"")</f>
        <v>0.268</v>
      </c>
      <c r="Q70" s="24" t="n">
        <f aca="false">IF(AND(ISNUMBER(O70),ISNUMBER(P70)),P70-O70,"")</f>
        <v>0.201311491935484</v>
      </c>
      <c r="R70" s="23" t="n">
        <f aca="false">MAX(0,G70-N(L70))</f>
        <v>8892</v>
      </c>
      <c r="S70" s="23" t="n">
        <f aca="false">SUMIFS(Cadenas_vs_FCST!$D$17:$D$652,Cadenas_vs_FCST!$A$17:$A$652,A70)</f>
        <v>8880</v>
      </c>
      <c r="T70" s="23" t="n">
        <f aca="false">SUMIFS(Cadenas_vs_FCST!$E$17:$E$652,Cadenas_vs_FCST!$A$17:$A$652,A70)</f>
        <v>12493.5554448211</v>
      </c>
      <c r="U70" s="24" t="n">
        <f aca="false">IF(T70&gt;0,S70/T70-1,"")</f>
        <v>-0.289233554113612</v>
      </c>
      <c r="V70" s="3" t="str">
        <f aca="false">IF(OR(E70="BAJO SS",E70="BAJO SS (XLIB CUBRE)"),"SÍ","")</f>
        <v/>
      </c>
      <c r="W70" s="3" t="str">
        <f aca="false">IF(AND(V70="",N(L70)&gt;=Parametros!$B$17,G70&gt;=H70,R70&lt;H70),"SÍ","")</f>
        <v/>
      </c>
      <c r="X70" s="3" t="str">
        <f aca="false">IF(OR(E70="SOBRE MAX VENDIBLE",N(N70)&gt;=Parametros!$B$17,N(M70)&gt;=Parametros!$B$17),"SÍ","")</f>
        <v/>
      </c>
      <c r="Y70" s="3" t="str">
        <f aca="false">IF(AND(ISNUMBER(U70),MAX(S70,T70)&gt;=Parametros!$B$15,ABS(N(U70))&gt;Parametros!$B$14),"SÍ","")</f>
        <v>SÍ</v>
      </c>
      <c r="Z70" s="3" t="n">
        <f aca="false">COUNTIF(V70:Y70,"SÍ")</f>
        <v>1</v>
      </c>
      <c r="AA70" s="3" t="n">
        <f aca="false">(3*(V70="SÍ")+2*(W70="SÍ")+2*(X70="SÍ")+(Y70="SÍ"))*IF(LEFT(D70,1)="A",3,IF(OR(LEFT(D70,1)="B",D70="SIN HIST"),2,1))</f>
        <v>1</v>
      </c>
      <c r="AB70" s="3" t="str">
        <f aca="false">IF(AA70&gt;=9,"1-ALTA",IF(AA70&gt;=4,"2-MEDIA",IF(AA70&gt;0,"3-BAJA","")))</f>
        <v>3-BAJA</v>
      </c>
      <c r="AC70" s="3" t="str">
        <f aca="false">IF(E70="BAJO SS","Stock + XLIB bajo el SS: riesgo real de quiebre, adelantar producción. ","")&amp;IF(E70="BAJO SS (XLIB CUBRE)","Disponible bajo el SS; depende de liberar "&amp;TEXT(J70,"#,##0")&amp;" kg"&amp;IF(ISNUMBER(K70)," el "&amp;TEXT(K70,"dd-mm"),"")&amp;". ","")&amp;IF(W70="SÍ","Stock parece sano pero "&amp;TEXT(L70,"#,##0")&amp;" kg no pasan filtro "&amp;Stock_Seguridad!O70&amp;": sin ellos queda bajo el SS para esa cadena. ","")&amp;IF(E70="SOBRE MAX VENDIBLE","Sobrestock vs vida útil: frenar producción/activar venta. ","")&amp;IF(N(N70)&gt;=Parametros!$B$17,TEXT(N70,"#,##0")&amp;" kg ya no los acepta ninguna cadena: venta intermedia/liquidación. ","")&amp;IF(N(M70)&gt;=Parametros!$B$17,TEXT(M70,"#,##0")&amp;" kg a punto de salir del filtro: despachar primero (FEFO). ","")&amp;IF(Y70="SÍ","Pedidos "&amp;IF(N(U70)&gt;0,"sobre","bajo")&amp;" FCST "&amp;TEXT(ABS(N(U70)),"0%")&amp;": revisar forecast con KAM.","")</f>
        <v>Pedidos bajo FCST 29%: revisar forecast con KAM.</v>
      </c>
    </row>
    <row r="71" customFormat="false" ht="15" hidden="false" customHeight="false" outlineLevel="0" collapsed="false">
      <c r="A71" s="18" t="n">
        <f aca="false">Stock_Seguridad!A71</f>
        <v>30000246</v>
      </c>
      <c r="B71" s="18" t="str">
        <f aca="false">Stock_Seguridad!B71</f>
        <v>NECTAR WATTS DURAZNO 12X1LT</v>
      </c>
      <c r="C71" s="18" t="str">
        <f aca="false">Stock_Seguridad!C71</f>
        <v>JUGOS Y NECTARES</v>
      </c>
      <c r="D71" s="18" t="str">
        <f aca="false">Stock_Seguridad!F71</f>
        <v>CX</v>
      </c>
      <c r="E71" s="19" t="str">
        <f aca="false">Stock_Seguridad!X71</f>
        <v>OK</v>
      </c>
      <c r="F71" s="20" t="n">
        <f aca="false">Stock_Seguridad!W71</f>
        <v>3.77725490196078</v>
      </c>
      <c r="G71" s="21" t="n">
        <f aca="false">Stock_Seguridad!T71</f>
        <v>14448</v>
      </c>
      <c r="H71" s="21" t="n">
        <f aca="false">Stock_Seguridad!R71</f>
        <v>1296.5278996602</v>
      </c>
      <c r="I71" s="21" t="n">
        <f aca="false">Stock_Seguridad!S71</f>
        <v>5121.52789966021</v>
      </c>
      <c r="J71" s="21" t="n">
        <f aca="false">Stock_Seguridad!U71</f>
        <v>0</v>
      </c>
      <c r="K71" s="22"/>
      <c r="L71" s="23" t="n">
        <v>0</v>
      </c>
      <c r="M71" s="23" t="n">
        <v>0</v>
      </c>
      <c r="N71" s="23" t="n">
        <v>0</v>
      </c>
      <c r="O71" s="24" t="n">
        <v>0.0334053156146179</v>
      </c>
      <c r="P71" s="24" t="n">
        <f aca="false">IF(ISNUMBER(Stock_Seguridad!N71),Stock_Seguridad!N71,"")</f>
        <v>0.194520547945206</v>
      </c>
      <c r="Q71" s="24" t="n">
        <f aca="false">IF(AND(ISNUMBER(O71),ISNUMBER(P71)),P71-O71,"")</f>
        <v>0.161115232330588</v>
      </c>
      <c r="R71" s="23" t="n">
        <f aca="false">MAX(0,G71-N(L71))</f>
        <v>14448</v>
      </c>
      <c r="S71" s="23" t="n">
        <f aca="false">SUMIFS(Cadenas_vs_FCST!$D$17:$D$652,Cadenas_vs_FCST!$A$17:$A$652,A71)</f>
        <v>12504</v>
      </c>
      <c r="T71" s="23" t="n">
        <f aca="false">SUMIFS(Cadenas_vs_FCST!$E$17:$E$652,Cadenas_vs_FCST!$A$17:$A$652,A71)</f>
        <v>16459.391560395</v>
      </c>
      <c r="U71" s="24" t="n">
        <f aca="false">IF(T71&gt;0,S71/T71-1,"")</f>
        <v>-0.240312137048403</v>
      </c>
      <c r="V71" s="3" t="str">
        <f aca="false">IF(OR(E71="BAJO SS",E71="BAJO SS (XLIB CUBRE)"),"SÍ","")</f>
        <v/>
      </c>
      <c r="W71" s="3" t="str">
        <f aca="false">IF(AND(V71="",N(L71)&gt;=Parametros!$B$17,G71&gt;=H71,R71&lt;H71),"SÍ","")</f>
        <v/>
      </c>
      <c r="X71" s="3" t="str">
        <f aca="false">IF(OR(E71="SOBRE MAX VENDIBLE",N(N71)&gt;=Parametros!$B$17,N(M71)&gt;=Parametros!$B$17),"SÍ","")</f>
        <v/>
      </c>
      <c r="Y71" s="3" t="str">
        <f aca="false">IF(AND(ISNUMBER(U71),MAX(S71,T71)&gt;=Parametros!$B$15,ABS(N(U71))&gt;Parametros!$B$14),"SÍ","")</f>
        <v>SÍ</v>
      </c>
      <c r="Z71" s="3" t="n">
        <f aca="false">COUNTIF(V71:Y71,"SÍ")</f>
        <v>1</v>
      </c>
      <c r="AA71" s="3" t="n">
        <f aca="false">(3*(V71="SÍ")+2*(W71="SÍ")+2*(X71="SÍ")+(Y71="SÍ"))*IF(LEFT(D71,1)="A",3,IF(OR(LEFT(D71,1)="B",D71="SIN HIST"),2,1))</f>
        <v>1</v>
      </c>
      <c r="AB71" s="3" t="str">
        <f aca="false">IF(AA71&gt;=9,"1-ALTA",IF(AA71&gt;=4,"2-MEDIA",IF(AA71&gt;0,"3-BAJA","")))</f>
        <v>3-BAJA</v>
      </c>
      <c r="AC71" s="3" t="str">
        <f aca="false">IF(E71="BAJO SS","Stock + XLIB bajo el SS: riesgo real de quiebre, adelantar producción. ","")&amp;IF(E71="BAJO SS (XLIB CUBRE)","Disponible bajo el SS; depende de liberar "&amp;TEXT(J71,"#,##0")&amp;" kg"&amp;IF(ISNUMBER(K71)," el "&amp;TEXT(K71,"dd-mm"),"")&amp;". ","")&amp;IF(W71="SÍ","Stock parece sano pero "&amp;TEXT(L71,"#,##0")&amp;" kg no pasan filtro "&amp;Stock_Seguridad!O71&amp;": sin ellos queda bajo el SS para esa cadena. ","")&amp;IF(E71="SOBRE MAX VENDIBLE","Sobrestock vs vida útil: frenar producción/activar venta. ","")&amp;IF(N(N71)&gt;=Parametros!$B$17,TEXT(N71,"#,##0")&amp;" kg ya no los acepta ninguna cadena: venta intermedia/liquidación. ","")&amp;IF(N(M71)&gt;=Parametros!$B$17,TEXT(M71,"#,##0")&amp;" kg a punto de salir del filtro: despachar primero (FEFO). ","")&amp;IF(Y71="SÍ","Pedidos "&amp;IF(N(U71)&gt;0,"sobre","bajo")&amp;" FCST "&amp;TEXT(ABS(N(U71)),"0%")&amp;": revisar forecast con KAM.","")</f>
        <v>Pedidos bajo FCST 24%: revisar forecast con KAM.</v>
      </c>
    </row>
    <row r="72" customFormat="false" ht="15" hidden="false" customHeight="false" outlineLevel="0" collapsed="false">
      <c r="A72" s="18" t="n">
        <f aca="false">Stock_Seguridad!A72</f>
        <v>30000334</v>
      </c>
      <c r="B72" s="18" t="str">
        <f aca="false">Stock_Seguridad!B72</f>
        <v>CREMA BATIR LONCO 12X1LT</v>
      </c>
      <c r="C72" s="18" t="str">
        <f aca="false">Stock_Seguridad!C72</f>
        <v>CREMA</v>
      </c>
      <c r="D72" s="18" t="str">
        <f aca="false">Stock_Seguridad!F72</f>
        <v>CX</v>
      </c>
      <c r="E72" s="19" t="str">
        <f aca="false">Stock_Seguridad!X72</f>
        <v>OK</v>
      </c>
      <c r="F72" s="20" t="n">
        <f aca="false">Stock_Seguridad!W72</f>
        <v>3.66228005323082</v>
      </c>
      <c r="G72" s="21" t="n">
        <f aca="false">Stock_Seguridad!T72</f>
        <v>5808</v>
      </c>
      <c r="H72" s="21" t="n">
        <f aca="false">Stock_Seguridad!R72</f>
        <v>2078.17666305791</v>
      </c>
      <c r="I72" s="21" t="n">
        <f aca="false">Stock_Seguridad!S72</f>
        <v>5459.67666305791</v>
      </c>
      <c r="J72" s="21" t="n">
        <f aca="false">Stock_Seguridad!U72</f>
        <v>6576</v>
      </c>
      <c r="K72" s="22" t="n">
        <v>46319</v>
      </c>
      <c r="L72" s="23" t="n">
        <v>0</v>
      </c>
      <c r="M72" s="23" t="n">
        <v>0</v>
      </c>
      <c r="N72" s="23" t="n">
        <v>0</v>
      </c>
      <c r="O72" s="24" t="n">
        <v>0.054015518913676</v>
      </c>
      <c r="P72" s="24" t="n">
        <f aca="false">IF(ISNUMBER(Stock_Seguridad!N72),Stock_Seguridad!N72,"")</f>
        <v>0.271739130434783</v>
      </c>
      <c r="Q72" s="24" t="n">
        <f aca="false">IF(AND(ISNUMBER(O72),ISNUMBER(P72)),P72-O72,"")</f>
        <v>0.217723611521107</v>
      </c>
      <c r="R72" s="23" t="n">
        <f aca="false">MAX(0,G72-N(L72))</f>
        <v>5808</v>
      </c>
      <c r="S72" s="23" t="n">
        <f aca="false">SUMIFS(Cadenas_vs_FCST!$D$17:$D$652,Cadenas_vs_FCST!$A$17:$A$652,A72)</f>
        <v>12780</v>
      </c>
      <c r="T72" s="23" t="n">
        <f aca="false">SUMIFS(Cadenas_vs_FCST!$E$17:$E$652,Cadenas_vs_FCST!$A$17:$A$652,A72)</f>
        <v>10809.4438206852</v>
      </c>
      <c r="U72" s="24" t="n">
        <f aca="false">IF(T72&gt;0,S72/T72-1,"")</f>
        <v>0.182299497735853</v>
      </c>
      <c r="V72" s="3" t="str">
        <f aca="false">IF(OR(E72="BAJO SS",E72="BAJO SS (XLIB CUBRE)"),"SÍ","")</f>
        <v/>
      </c>
      <c r="W72" s="3" t="str">
        <f aca="false">IF(AND(V72="",N(L72)&gt;=Parametros!$B$17,G72&gt;=H72,R72&lt;H72),"SÍ","")</f>
        <v/>
      </c>
      <c r="X72" s="3" t="str">
        <f aca="false">IF(OR(E72="SOBRE MAX VENDIBLE",N(N72)&gt;=Parametros!$B$17,N(M72)&gt;=Parametros!$B$17),"SÍ","")</f>
        <v/>
      </c>
      <c r="Y72" s="3" t="str">
        <f aca="false">IF(AND(ISNUMBER(U72),MAX(S72,T72)&gt;=Parametros!$B$15,ABS(N(U72))&gt;Parametros!$B$14),"SÍ","")</f>
        <v/>
      </c>
      <c r="Z72" s="3" t="n">
        <f aca="false">COUNTIF(V72:Y72,"SÍ")</f>
        <v>0</v>
      </c>
      <c r="AA72" s="3" t="n">
        <f aca="false">(3*(V72="SÍ")+2*(W72="SÍ")+2*(X72="SÍ")+(Y72="SÍ"))*IF(LEFT(D72,1)="A",3,IF(OR(LEFT(D72,1)="B",D72="SIN HIST"),2,1))</f>
        <v>0</v>
      </c>
      <c r="AB72" s="3" t="str">
        <f aca="false">IF(AA72&gt;=9,"1-ALTA",IF(AA72&gt;=4,"2-MEDIA",IF(AA72&gt;0,"3-BAJA","")))</f>
        <v/>
      </c>
      <c r="AC72" s="3" t="str">
        <f aca="false">IF(E72="BAJO SS","Stock + XLIB bajo el SS: riesgo real de quiebre, adelantar producción. ","")&amp;IF(E72="BAJO SS (XLIB CUBRE)","Disponible bajo el SS; depende de liberar "&amp;TEXT(J72,"#,##0")&amp;" kg"&amp;IF(ISNUMBER(K72)," el "&amp;TEXT(K72,"dd-mm"),"")&amp;". ","")&amp;IF(W72="SÍ","Stock parece sano pero "&amp;TEXT(L72,"#,##0")&amp;" kg no pasan filtro "&amp;Stock_Seguridad!O72&amp;": sin ellos queda bajo el SS para esa cadena. ","")&amp;IF(E72="SOBRE MAX VENDIBLE","Sobrestock vs vida útil: frenar producción/activar venta. ","")&amp;IF(N(N72)&gt;=Parametros!$B$17,TEXT(N72,"#,##0")&amp;" kg ya no los acepta ninguna cadena: venta intermedia/liquidación. ","")&amp;IF(N(M72)&gt;=Parametros!$B$17,TEXT(M72,"#,##0")&amp;" kg a punto de salir del filtro: despachar primero (FEFO). ","")&amp;IF(Y72="SÍ","Pedidos "&amp;IF(N(U72)&gt;0,"sobre","bajo")&amp;" FCST "&amp;TEXT(ABS(N(U72)),"0%")&amp;": revisar forecast con KAM.","")</f>
        <v/>
      </c>
    </row>
    <row r="73" customFormat="false" ht="15" hidden="false" customHeight="false" outlineLevel="0" collapsed="false">
      <c r="A73" s="18" t="n">
        <f aca="false">Stock_Seguridad!A73</f>
        <v>30002292</v>
      </c>
      <c r="B73" s="18" t="str">
        <f aca="false">Stock_Seguridad!B73</f>
        <v>JUGO 100% WATTS TUTTIMANGO LV 30X200ML</v>
      </c>
      <c r="C73" s="18" t="str">
        <f aca="false">Stock_Seguridad!C73</f>
        <v>JUGOS Y NECTARES</v>
      </c>
      <c r="D73" s="18" t="str">
        <f aca="false">Stock_Seguridad!F73</f>
        <v>CX</v>
      </c>
      <c r="E73" s="19" t="str">
        <f aca="false">Stock_Seguridad!X73</f>
        <v>OK</v>
      </c>
      <c r="F73" s="20" t="n">
        <f aca="false">Stock_Seguridad!W73</f>
        <v>2.23492024689849</v>
      </c>
      <c r="G73" s="21" t="n">
        <f aca="false">Stock_Seguridad!T73</f>
        <v>7314</v>
      </c>
      <c r="H73" s="21" t="n">
        <f aca="false">Stock_Seguridad!R73</f>
        <v>1471.38403664836</v>
      </c>
      <c r="I73" s="21" t="n">
        <f aca="false">Stock_Seguridad!S73</f>
        <v>4743.98403664836</v>
      </c>
      <c r="J73" s="21" t="n">
        <f aca="false">Stock_Seguridad!U73</f>
        <v>0</v>
      </c>
      <c r="K73" s="22"/>
      <c r="L73" s="23" t="n">
        <v>0</v>
      </c>
      <c r="M73" s="23" t="n">
        <v>0</v>
      </c>
      <c r="N73" s="23" t="n">
        <v>0</v>
      </c>
      <c r="O73" s="24" t="n">
        <v>0.0522231337161608</v>
      </c>
      <c r="P73" s="24" t="str">
        <f aca="false">IF(ISNUMBER(Stock_Seguridad!N73),Stock_Seguridad!N73,"")</f>
        <v/>
      </c>
      <c r="Q73" s="24" t="str">
        <f aca="false">IF(AND(ISNUMBER(O73),ISNUMBER(P73)),P73-O73,"")</f>
        <v/>
      </c>
      <c r="R73" s="23" t="n">
        <f aca="false">MAX(0,G73-N(L73))</f>
        <v>7314</v>
      </c>
      <c r="S73" s="23" t="n">
        <f aca="false">SUMIFS(Cadenas_vs_FCST!$D$17:$D$652,Cadenas_vs_FCST!$A$17:$A$652,A73)</f>
        <v>14004</v>
      </c>
      <c r="T73" s="23" t="n">
        <f aca="false">SUMIFS(Cadenas_vs_FCST!$E$17:$E$652,Cadenas_vs_FCST!$A$17:$A$652,A73)</f>
        <v>10905.3388841109</v>
      </c>
      <c r="U73" s="24" t="n">
        <f aca="false">IF(T73&gt;0,S73/T73-1,"")</f>
        <v>0.284141662062778</v>
      </c>
      <c r="V73" s="3" t="str">
        <f aca="false">IF(OR(E73="BAJO SS",E73="BAJO SS (XLIB CUBRE)"),"SÍ","")</f>
        <v/>
      </c>
      <c r="W73" s="3" t="str">
        <f aca="false">IF(AND(V73="",N(L73)&gt;=Parametros!$B$17,G73&gt;=H73,R73&lt;H73),"SÍ","")</f>
        <v/>
      </c>
      <c r="X73" s="3" t="str">
        <f aca="false">IF(OR(E73="SOBRE MAX VENDIBLE",N(N73)&gt;=Parametros!$B$17,N(M73)&gt;=Parametros!$B$17),"SÍ","")</f>
        <v/>
      </c>
      <c r="Y73" s="3" t="str">
        <f aca="false">IF(AND(ISNUMBER(U73),MAX(S73,T73)&gt;=Parametros!$B$15,ABS(N(U73))&gt;Parametros!$B$14),"SÍ","")</f>
        <v>SÍ</v>
      </c>
      <c r="Z73" s="3" t="n">
        <f aca="false">COUNTIF(V73:Y73,"SÍ")</f>
        <v>1</v>
      </c>
      <c r="AA73" s="3" t="n">
        <f aca="false">(3*(V73="SÍ")+2*(W73="SÍ")+2*(X73="SÍ")+(Y73="SÍ"))*IF(LEFT(D73,1)="A",3,IF(OR(LEFT(D73,1)="B",D73="SIN HIST"),2,1))</f>
        <v>1</v>
      </c>
      <c r="AB73" s="3" t="str">
        <f aca="false">IF(AA73&gt;=9,"1-ALTA",IF(AA73&gt;=4,"2-MEDIA",IF(AA73&gt;0,"3-BAJA","")))</f>
        <v>3-BAJA</v>
      </c>
      <c r="AC73" s="3" t="str">
        <f aca="false">IF(E73="BAJO SS","Stock + XLIB bajo el SS: riesgo real de quiebre, adelantar producción. ","")&amp;IF(E73="BAJO SS (XLIB CUBRE)","Disponible bajo el SS; depende de liberar "&amp;TEXT(J73,"#,##0")&amp;" kg"&amp;IF(ISNUMBER(K73)," el "&amp;TEXT(K73,"dd-mm"),"")&amp;". ","")&amp;IF(W73="SÍ","Stock parece sano pero "&amp;TEXT(L73,"#,##0")&amp;" kg no pasan filtro "&amp;Stock_Seguridad!O73&amp;": sin ellos queda bajo el SS para esa cadena. ","")&amp;IF(E73="SOBRE MAX VENDIBLE","Sobrestock vs vida útil: frenar producción/activar venta. ","")&amp;IF(N(N73)&gt;=Parametros!$B$17,TEXT(N73,"#,##0")&amp;" kg ya no los acepta ninguna cadena: venta intermedia/liquidación. ","")&amp;IF(N(M73)&gt;=Parametros!$B$17,TEXT(M73,"#,##0")&amp;" kg a punto de salir del filtro: despachar primero (FEFO). ","")&amp;IF(Y73="SÍ","Pedidos "&amp;IF(N(U73)&gt;0,"sobre","bajo")&amp;" FCST "&amp;TEXT(ABS(N(U73)),"0%")&amp;": revisar forecast con KAM.","")</f>
        <v>Pedidos sobre FCST 28%: revisar forecast con KAM.</v>
      </c>
    </row>
    <row r="74" customFormat="false" ht="15" hidden="false" customHeight="false" outlineLevel="0" collapsed="false">
      <c r="A74" s="18" t="n">
        <f aca="false">Stock_Seguridad!A74</f>
        <v>30000245</v>
      </c>
      <c r="B74" s="18" t="str">
        <f aca="false">Stock_Seguridad!B74</f>
        <v>NECTAR WATTS MANZANA 12X1LT</v>
      </c>
      <c r="C74" s="18" t="str">
        <f aca="false">Stock_Seguridad!C74</f>
        <v>JUGOS Y NECTARES</v>
      </c>
      <c r="D74" s="18" t="str">
        <f aca="false">Stock_Seguridad!F74</f>
        <v>BX</v>
      </c>
      <c r="E74" s="19" t="str">
        <f aca="false">Stock_Seguridad!X74</f>
        <v>OK</v>
      </c>
      <c r="F74" s="20" t="n">
        <f aca="false">Stock_Seguridad!W74</f>
        <v>10.131240188383</v>
      </c>
      <c r="G74" s="21" t="n">
        <f aca="false">Stock_Seguridad!T74</f>
        <v>32268</v>
      </c>
      <c r="H74" s="21" t="n">
        <f aca="false">Stock_Seguridad!R74</f>
        <v>3499.51584555668</v>
      </c>
      <c r="I74" s="21" t="n">
        <f aca="false">Stock_Seguridad!S74</f>
        <v>6684.51584555668</v>
      </c>
      <c r="J74" s="21" t="n">
        <f aca="false">Stock_Seguridad!U74</f>
        <v>0</v>
      </c>
      <c r="K74" s="22"/>
      <c r="L74" s="23" t="n">
        <v>240</v>
      </c>
      <c r="M74" s="23" t="n">
        <v>10500</v>
      </c>
      <c r="N74" s="23" t="n">
        <v>0</v>
      </c>
      <c r="O74" s="24" t="n">
        <v>0.0619955323901713</v>
      </c>
      <c r="P74" s="24" t="n">
        <f aca="false">IF(ISNUMBER(Stock_Seguridad!N74),Stock_Seguridad!N74,"")</f>
        <v>0.194520547945206</v>
      </c>
      <c r="Q74" s="24" t="n">
        <f aca="false">IF(AND(ISNUMBER(O74),ISNUMBER(P74)),P74-O74,"")</f>
        <v>0.132525015555034</v>
      </c>
      <c r="R74" s="23" t="n">
        <f aca="false">MAX(0,G74-N(L74))</f>
        <v>32028</v>
      </c>
      <c r="S74" s="23" t="n">
        <f aca="false">SUMIFS(Cadenas_vs_FCST!$D$17:$D$652,Cadenas_vs_FCST!$A$17:$A$652,A74)</f>
        <v>12408</v>
      </c>
      <c r="T74" s="23" t="n">
        <f aca="false">SUMIFS(Cadenas_vs_FCST!$E$17:$E$652,Cadenas_vs_FCST!$A$17:$A$652,A74)</f>
        <v>13608.1168099596</v>
      </c>
      <c r="U74" s="24" t="n">
        <f aca="false">IF(T74&gt;0,S74/T74-1,"")</f>
        <v>-0.0881912484085416</v>
      </c>
      <c r="V74" s="3" t="str">
        <f aca="false">IF(OR(E74="BAJO SS",E74="BAJO SS (XLIB CUBRE)"),"SÍ","")</f>
        <v/>
      </c>
      <c r="W74" s="3" t="str">
        <f aca="false">IF(AND(V74="",N(L74)&gt;=Parametros!$B$17,G74&gt;=H74,R74&lt;H74),"SÍ","")</f>
        <v/>
      </c>
      <c r="X74" s="3" t="str">
        <f aca="false">IF(OR(E74="SOBRE MAX VENDIBLE",N(N74)&gt;=Parametros!$B$17,N(M74)&gt;=Parametros!$B$17),"SÍ","")</f>
        <v>SÍ</v>
      </c>
      <c r="Y74" s="3" t="str">
        <f aca="false">IF(AND(ISNUMBER(U74),MAX(S74,T74)&gt;=Parametros!$B$15,ABS(N(U74))&gt;Parametros!$B$14),"SÍ","")</f>
        <v/>
      </c>
      <c r="Z74" s="3" t="n">
        <f aca="false">COUNTIF(V74:Y74,"SÍ")</f>
        <v>1</v>
      </c>
      <c r="AA74" s="3" t="n">
        <f aca="false">(3*(V74="SÍ")+2*(W74="SÍ")+2*(X74="SÍ")+(Y74="SÍ"))*IF(LEFT(D74,1)="A",3,IF(OR(LEFT(D74,1)="B",D74="SIN HIST"),2,1))</f>
        <v>4</v>
      </c>
      <c r="AB74" s="3" t="str">
        <f aca="false">IF(AA74&gt;=9,"1-ALTA",IF(AA74&gt;=4,"2-MEDIA",IF(AA74&gt;0,"3-BAJA","")))</f>
        <v>2-MEDIA</v>
      </c>
      <c r="AC74" s="3" t="str">
        <f aca="false">IF(E74="BAJO SS","Stock + XLIB bajo el SS: riesgo real de quiebre, adelantar producción. ","")&amp;IF(E74="BAJO SS (XLIB CUBRE)","Disponible bajo el SS; depende de liberar "&amp;TEXT(J74,"#,##0")&amp;" kg"&amp;IF(ISNUMBER(K74)," el "&amp;TEXT(K74,"dd-mm"),"")&amp;". ","")&amp;IF(W74="SÍ","Stock parece sano pero "&amp;TEXT(L74,"#,##0")&amp;" kg no pasan filtro "&amp;Stock_Seguridad!O74&amp;": sin ellos queda bajo el SS para esa cadena. ","")&amp;IF(E74="SOBRE MAX VENDIBLE","Sobrestock vs vida útil: frenar producción/activar venta. ","")&amp;IF(N(N74)&gt;=Parametros!$B$17,TEXT(N74,"#,##0")&amp;" kg ya no los acepta ninguna cadena: venta intermedia/liquidación. ","")&amp;IF(N(M74)&gt;=Parametros!$B$17,TEXT(M74,"#,##0")&amp;" kg a punto de salir del filtro: despachar primero (FEFO). ","")&amp;IF(Y74="SÍ","Pedidos "&amp;IF(N(U74)&gt;0,"sobre","bajo")&amp;" FCST "&amp;TEXT(ABS(N(U74)),"0%")&amp;": revisar forecast con KAM.","")</f>
        <v>10,500 kg a punto de salir del filtro: despachar primero (FEFO). </v>
      </c>
    </row>
    <row r="75" customFormat="false" ht="15" hidden="false" customHeight="false" outlineLevel="0" collapsed="false">
      <c r="A75" s="18" t="n">
        <f aca="false">Stock_Seguridad!A75</f>
        <v>30001925</v>
      </c>
      <c r="B75" s="18" t="str">
        <f aca="false">Stock_Seguridad!B75</f>
        <v>LECHE CHOCOLATE LONCOLECHE 30X115ML</v>
      </c>
      <c r="C75" s="18" t="str">
        <f aca="false">Stock_Seguridad!C75</f>
        <v>LECHES LIQUIDAS</v>
      </c>
      <c r="D75" s="18" t="str">
        <f aca="false">Stock_Seguridad!F75</f>
        <v>CZ</v>
      </c>
      <c r="E75" s="19" t="str">
        <f aca="false">Stock_Seguridad!X75</f>
        <v>SOBRE MAX VENDIBLE</v>
      </c>
      <c r="F75" s="20" t="n">
        <f aca="false">Stock_Seguridad!W75</f>
        <v>10.3434273044029</v>
      </c>
      <c r="G75" s="21" t="n">
        <f aca="false">Stock_Seguridad!T75</f>
        <v>32654.2</v>
      </c>
      <c r="H75" s="21" t="n">
        <f aca="false">Stock_Seguridad!R75</f>
        <v>4118.83917522517</v>
      </c>
      <c r="I75" s="21" t="n">
        <f aca="false">Stock_Seguridad!S75</f>
        <v>7275.83917522517</v>
      </c>
      <c r="J75" s="21" t="n">
        <f aca="false">Stock_Seguridad!U75</f>
        <v>0</v>
      </c>
      <c r="K75" s="22"/>
      <c r="L75" s="23" t="n">
        <v>172.5</v>
      </c>
      <c r="M75" s="23" t="n">
        <v>32481.75</v>
      </c>
      <c r="N75" s="23" t="n">
        <v>0</v>
      </c>
      <c r="O75" s="24" t="n">
        <v>0.225452720549393</v>
      </c>
      <c r="P75" s="24" t="n">
        <f aca="false">IF(ISNUMBER(Stock_Seguridad!N75),Stock_Seguridad!N75,"")</f>
        <v>0.266355140186916</v>
      </c>
      <c r="Q75" s="24" t="n">
        <f aca="false">IF(AND(ISNUMBER(O75),ISNUMBER(P75)),P75-O75,"")</f>
        <v>0.0409024196375234</v>
      </c>
      <c r="R75" s="23" t="n">
        <f aca="false">MAX(0,G75-N(L75))</f>
        <v>32481.7</v>
      </c>
      <c r="S75" s="23" t="n">
        <f aca="false">SUMIFS(Cadenas_vs_FCST!$D$17:$D$652,Cadenas_vs_FCST!$A$17:$A$652,A75)</f>
        <v>4795.5</v>
      </c>
      <c r="T75" s="23" t="n">
        <f aca="false">SUMIFS(Cadenas_vs_FCST!$E$17:$E$652,Cadenas_vs_FCST!$A$17:$A$652,A75)</f>
        <v>12948.4418429878</v>
      </c>
      <c r="U75" s="24" t="n">
        <f aca="false">IF(T75&gt;0,S75/T75-1,"")</f>
        <v>-0.629646558392893</v>
      </c>
      <c r="V75" s="3" t="str">
        <f aca="false">IF(OR(E75="BAJO SS",E75="BAJO SS (XLIB CUBRE)"),"SÍ","")</f>
        <v/>
      </c>
      <c r="W75" s="3" t="str">
        <f aca="false">IF(AND(V75="",N(L75)&gt;=Parametros!$B$17,G75&gt;=H75,R75&lt;H75),"SÍ","")</f>
        <v/>
      </c>
      <c r="X75" s="3" t="str">
        <f aca="false">IF(OR(E75="SOBRE MAX VENDIBLE",N(N75)&gt;=Parametros!$B$17,N(M75)&gt;=Parametros!$B$17),"SÍ","")</f>
        <v>SÍ</v>
      </c>
      <c r="Y75" s="3" t="str">
        <f aca="false">IF(AND(ISNUMBER(U75),MAX(S75,T75)&gt;=Parametros!$B$15,ABS(N(U75))&gt;Parametros!$B$14),"SÍ","")</f>
        <v>SÍ</v>
      </c>
      <c r="Z75" s="3" t="n">
        <f aca="false">COUNTIF(V75:Y75,"SÍ")</f>
        <v>2</v>
      </c>
      <c r="AA75" s="3" t="n">
        <f aca="false">(3*(V75="SÍ")+2*(W75="SÍ")+2*(X75="SÍ")+(Y75="SÍ"))*IF(LEFT(D75,1)="A",3,IF(OR(LEFT(D75,1)="B",D75="SIN HIST"),2,1))</f>
        <v>3</v>
      </c>
      <c r="AB75" s="3" t="str">
        <f aca="false">IF(AA75&gt;=9,"1-ALTA",IF(AA75&gt;=4,"2-MEDIA",IF(AA75&gt;0,"3-BAJA","")))</f>
        <v>3-BAJA</v>
      </c>
      <c r="AC75" s="3" t="str">
        <f aca="false">IF(E75="BAJO SS","Stock + XLIB bajo el SS: riesgo real de quiebre, adelantar producción. ","")&amp;IF(E75="BAJO SS (XLIB CUBRE)","Disponible bajo el SS; depende de liberar "&amp;TEXT(J75,"#,##0")&amp;" kg"&amp;IF(ISNUMBER(K75)," el "&amp;TEXT(K75,"dd-mm"),"")&amp;". ","")&amp;IF(W75="SÍ","Stock parece sano pero "&amp;TEXT(L75,"#,##0")&amp;" kg no pasan filtro "&amp;Stock_Seguridad!O75&amp;": sin ellos queda bajo el SS para esa cadena. ","")&amp;IF(E75="SOBRE MAX VENDIBLE","Sobrestock vs vida útil: frenar producción/activar venta. ","")&amp;IF(N(N75)&gt;=Parametros!$B$17,TEXT(N75,"#,##0")&amp;" kg ya no los acepta ninguna cadena: venta intermedia/liquidación. ","")&amp;IF(N(M75)&gt;=Parametros!$B$17,TEXT(M75,"#,##0")&amp;" kg a punto de salir del filtro: despachar primero (FEFO). ","")&amp;IF(Y75="SÍ","Pedidos "&amp;IF(N(U75)&gt;0,"sobre","bajo")&amp;" FCST "&amp;TEXT(ABS(N(U75)),"0%")&amp;": revisar forecast con KAM.","")</f>
        <v>Sobrestock vs vida útil: frenar producción/activar venta. 32,482 kg a punto de salir del filtro: despachar primero (FEFO). Pedidos bajo FCST 63%: revisar forecast con KAM.</v>
      </c>
    </row>
    <row r="76" customFormat="false" ht="15" hidden="false" customHeight="false" outlineLevel="0" collapsed="false">
      <c r="A76" s="18" t="n">
        <f aca="false">Stock_Seguridad!A76</f>
        <v>30002326</v>
      </c>
      <c r="B76" s="18" t="str">
        <f aca="false">Stock_Seguridad!B76</f>
        <v>CREMA S/L LISTA LONCO 18X250ML</v>
      </c>
      <c r="C76" s="18" t="str">
        <f aca="false">Stock_Seguridad!C76</f>
        <v>CREMA</v>
      </c>
      <c r="D76" s="18" t="str">
        <f aca="false">Stock_Seguridad!F76</f>
        <v>CZ</v>
      </c>
      <c r="E76" s="19" t="str">
        <f aca="false">Stock_Seguridad!X76</f>
        <v>OK</v>
      </c>
      <c r="F76" s="20" t="n">
        <f aca="false">Stock_Seguridad!W76</f>
        <v>3.18096</v>
      </c>
      <c r="G76" s="21" t="n">
        <f aca="false">Stock_Seguridad!T76</f>
        <v>9940.5</v>
      </c>
      <c r="H76" s="21" t="n">
        <f aca="false">Stock_Seguridad!R76</f>
        <v>3811.88779462789</v>
      </c>
      <c r="I76" s="21" t="n">
        <f aca="false">Stock_Seguridad!S76</f>
        <v>6936.88779462789</v>
      </c>
      <c r="J76" s="21" t="n">
        <f aca="false">Stock_Seguridad!U76</f>
        <v>0</v>
      </c>
      <c r="K76" s="22"/>
      <c r="L76" s="23" t="n">
        <v>0</v>
      </c>
      <c r="M76" s="23" t="n">
        <v>0</v>
      </c>
      <c r="N76" s="23" t="n">
        <v>0</v>
      </c>
      <c r="O76" s="24" t="n">
        <v>0.0406382978723404</v>
      </c>
      <c r="P76" s="24" t="str">
        <f aca="false">IF(ISNUMBER(Stock_Seguridad!N76),Stock_Seguridad!N76,"")</f>
        <v/>
      </c>
      <c r="Q76" s="24" t="str">
        <f aca="false">IF(AND(ISNUMBER(O76),ISNUMBER(P76)),P76-O76,"")</f>
        <v/>
      </c>
      <c r="R76" s="23" t="n">
        <f aca="false">MAX(0,G76-N(L76))</f>
        <v>9940.5</v>
      </c>
      <c r="S76" s="23" t="n">
        <f aca="false">SUMIFS(Cadenas_vs_FCST!$D$17:$D$652,Cadenas_vs_FCST!$A$17:$A$652,A76)</f>
        <v>10323</v>
      </c>
      <c r="T76" s="23" t="n">
        <f aca="false">SUMIFS(Cadenas_vs_FCST!$E$17:$E$652,Cadenas_vs_FCST!$A$17:$A$652,A76)</f>
        <v>6000</v>
      </c>
      <c r="U76" s="24" t="n">
        <f aca="false">IF(T76&gt;0,S76/T76-1,"")</f>
        <v>0.7205</v>
      </c>
      <c r="V76" s="3" t="str">
        <f aca="false">IF(OR(E76="BAJO SS",E76="BAJO SS (XLIB CUBRE)"),"SÍ","")</f>
        <v/>
      </c>
      <c r="W76" s="3" t="str">
        <f aca="false">IF(AND(V76="",N(L76)&gt;=Parametros!$B$17,G76&gt;=H76,R76&lt;H76),"SÍ","")</f>
        <v/>
      </c>
      <c r="X76" s="3" t="str">
        <f aca="false">IF(OR(E76="SOBRE MAX VENDIBLE",N(N76)&gt;=Parametros!$B$17,N(M76)&gt;=Parametros!$B$17),"SÍ","")</f>
        <v/>
      </c>
      <c r="Y76" s="3" t="str">
        <f aca="false">IF(AND(ISNUMBER(U76),MAX(S76,T76)&gt;=Parametros!$B$15,ABS(N(U76))&gt;Parametros!$B$14),"SÍ","")</f>
        <v>SÍ</v>
      </c>
      <c r="Z76" s="3" t="n">
        <f aca="false">COUNTIF(V76:Y76,"SÍ")</f>
        <v>1</v>
      </c>
      <c r="AA76" s="3" t="n">
        <f aca="false">(3*(V76="SÍ")+2*(W76="SÍ")+2*(X76="SÍ")+(Y76="SÍ"))*IF(LEFT(D76,1)="A",3,IF(OR(LEFT(D76,1)="B",D76="SIN HIST"),2,1))</f>
        <v>1</v>
      </c>
      <c r="AB76" s="3" t="str">
        <f aca="false">IF(AA76&gt;=9,"1-ALTA",IF(AA76&gt;=4,"2-MEDIA",IF(AA76&gt;0,"3-BAJA","")))</f>
        <v>3-BAJA</v>
      </c>
      <c r="AC76" s="3" t="str">
        <f aca="false">IF(E76="BAJO SS","Stock + XLIB bajo el SS: riesgo real de quiebre, adelantar producción. ","")&amp;IF(E76="BAJO SS (XLIB CUBRE)","Disponible bajo el SS; depende de liberar "&amp;TEXT(J76,"#,##0")&amp;" kg"&amp;IF(ISNUMBER(K76)," el "&amp;TEXT(K76,"dd-mm"),"")&amp;". ","")&amp;IF(W76="SÍ","Stock parece sano pero "&amp;TEXT(L76,"#,##0")&amp;" kg no pasan filtro "&amp;Stock_Seguridad!O76&amp;": sin ellos queda bajo el SS para esa cadena. ","")&amp;IF(E76="SOBRE MAX VENDIBLE","Sobrestock vs vida útil: frenar producción/activar venta. ","")&amp;IF(N(N76)&gt;=Parametros!$B$17,TEXT(N76,"#,##0")&amp;" kg ya no los acepta ninguna cadena: venta intermedia/liquidación. ","")&amp;IF(N(M76)&gt;=Parametros!$B$17,TEXT(M76,"#,##0")&amp;" kg a punto de salir del filtro: despachar primero (FEFO). ","")&amp;IF(Y76="SÍ","Pedidos "&amp;IF(N(U76)&gt;0,"sobre","bajo")&amp;" FCST "&amp;TEXT(ABS(N(U76)),"0%")&amp;": revisar forecast con KAM.","")</f>
        <v>Pedidos sobre FCST 72%: revisar forecast con KAM.</v>
      </c>
    </row>
    <row r="77" customFormat="false" ht="15" hidden="false" customHeight="false" outlineLevel="0" collapsed="false">
      <c r="A77" s="18" t="n">
        <f aca="false">Stock_Seguridad!A77</f>
        <v>30001976</v>
      </c>
      <c r="B77" s="18" t="str">
        <f aca="false">Stock_Seguridad!B77</f>
        <v>BEBIDA LONCOLECHE VEGETAL SOYA 6X1LT</v>
      </c>
      <c r="C77" s="18" t="str">
        <f aca="false">Stock_Seguridad!C77</f>
        <v>LECHES LIQUIDAS</v>
      </c>
      <c r="D77" s="18" t="str">
        <f aca="false">Stock_Seguridad!F77</f>
        <v>CX</v>
      </c>
      <c r="E77" s="19" t="str">
        <f aca="false">Stock_Seguridad!X77</f>
        <v>OK</v>
      </c>
      <c r="F77" s="20" t="n">
        <f aca="false">Stock_Seguridad!W77</f>
        <v>6.47484830690938</v>
      </c>
      <c r="G77" s="21" t="n">
        <f aca="false">Stock_Seguridad!T77</f>
        <v>19848</v>
      </c>
      <c r="H77" s="21" t="n">
        <f aca="false">Stock_Seguridad!R77</f>
        <v>2156.26731080691</v>
      </c>
      <c r="I77" s="21" t="n">
        <f aca="false">Stock_Seguridad!S77</f>
        <v>5221.66731080691</v>
      </c>
      <c r="J77" s="21" t="n">
        <f aca="false">Stock_Seguridad!U77</f>
        <v>0</v>
      </c>
      <c r="K77" s="22"/>
      <c r="L77" s="23" t="n">
        <v>6</v>
      </c>
      <c r="M77" s="23" t="n">
        <v>0</v>
      </c>
      <c r="N77" s="23" t="n">
        <v>6</v>
      </c>
      <c r="O77" s="24" t="n">
        <v>0.311995766555791</v>
      </c>
      <c r="P77" s="24" t="n">
        <f aca="false">IF(ISNUMBER(Stock_Seguridad!N77),Stock_Seguridad!N77,"")</f>
        <v>0.498630136986301</v>
      </c>
      <c r="Q77" s="24" t="n">
        <f aca="false">IF(AND(ISNUMBER(O77),ISNUMBER(P77)),P77-O77,"")</f>
        <v>0.186634370430511</v>
      </c>
      <c r="R77" s="23" t="n">
        <f aca="false">MAX(0,G77-N(L77))</f>
        <v>19842</v>
      </c>
      <c r="S77" s="23" t="n">
        <f aca="false">SUMIFS(Cadenas_vs_FCST!$D$17:$D$652,Cadenas_vs_FCST!$A$17:$A$652,A77)</f>
        <v>13212</v>
      </c>
      <c r="T77" s="23" t="n">
        <f aca="false">SUMIFS(Cadenas_vs_FCST!$E$17:$E$652,Cadenas_vs_FCST!$A$17:$A$652,A77)</f>
        <v>11500.6778794002</v>
      </c>
      <c r="U77" s="24" t="n">
        <f aca="false">IF(T77&gt;0,S77/T77-1,"")</f>
        <v>0.148801847903688</v>
      </c>
      <c r="V77" s="3" t="str">
        <f aca="false">IF(OR(E77="BAJO SS",E77="BAJO SS (XLIB CUBRE)"),"SÍ","")</f>
        <v/>
      </c>
      <c r="W77" s="3" t="str">
        <f aca="false">IF(AND(V77="",N(L77)&gt;=Parametros!$B$17,G77&gt;=H77,R77&lt;H77),"SÍ","")</f>
        <v/>
      </c>
      <c r="X77" s="3" t="str">
        <f aca="false">IF(OR(E77="SOBRE MAX VENDIBLE",N(N77)&gt;=Parametros!$B$17,N(M77)&gt;=Parametros!$B$17),"SÍ","")</f>
        <v/>
      </c>
      <c r="Y77" s="3" t="str">
        <f aca="false">IF(AND(ISNUMBER(U77),MAX(S77,T77)&gt;=Parametros!$B$15,ABS(N(U77))&gt;Parametros!$B$14),"SÍ","")</f>
        <v/>
      </c>
      <c r="Z77" s="3" t="n">
        <f aca="false">COUNTIF(V77:Y77,"SÍ")</f>
        <v>0</v>
      </c>
      <c r="AA77" s="3" t="n">
        <f aca="false">(3*(V77="SÍ")+2*(W77="SÍ")+2*(X77="SÍ")+(Y77="SÍ"))*IF(LEFT(D77,1)="A",3,IF(OR(LEFT(D77,1)="B",D77="SIN HIST"),2,1))</f>
        <v>0</v>
      </c>
      <c r="AB77" s="3" t="str">
        <f aca="false">IF(AA77&gt;=9,"1-ALTA",IF(AA77&gt;=4,"2-MEDIA",IF(AA77&gt;0,"3-BAJA","")))</f>
        <v/>
      </c>
      <c r="AC77" s="3" t="str">
        <f aca="false">IF(E77="BAJO SS","Stock + XLIB bajo el SS: riesgo real de quiebre, adelantar producción. ","")&amp;IF(E77="BAJO SS (XLIB CUBRE)","Disponible bajo el SS; depende de liberar "&amp;TEXT(J77,"#,##0")&amp;" kg"&amp;IF(ISNUMBER(K77)," el "&amp;TEXT(K77,"dd-mm"),"")&amp;". ","")&amp;IF(W77="SÍ","Stock parece sano pero "&amp;TEXT(L77,"#,##0")&amp;" kg no pasan filtro "&amp;Stock_Seguridad!O77&amp;": sin ellos queda bajo el SS para esa cadena. ","")&amp;IF(E77="SOBRE MAX VENDIBLE","Sobrestock vs vida útil: frenar producción/activar venta. ","")&amp;IF(N(N77)&gt;=Parametros!$B$17,TEXT(N77,"#,##0")&amp;" kg ya no los acepta ninguna cadena: venta intermedia/liquidación. ","")&amp;IF(N(M77)&gt;=Parametros!$B$17,TEXT(M77,"#,##0")&amp;" kg a punto de salir del filtro: despachar primero (FEFO). ","")&amp;IF(Y77="SÍ","Pedidos "&amp;IF(N(U77)&gt;0,"sobre","bajo")&amp;" FCST "&amp;TEXT(ABS(N(U77)),"0%")&amp;": revisar forecast con KAM.","")</f>
        <v/>
      </c>
    </row>
    <row r="78" customFormat="false" ht="15" hidden="false" customHeight="false" outlineLevel="0" collapsed="false">
      <c r="A78" s="18" t="n">
        <f aca="false">Stock_Seguridad!A78</f>
        <v>30002229</v>
      </c>
      <c r="B78" s="18" t="str">
        <f aca="false">Stock_Seguridad!B78</f>
        <v>NECTAR WATTS DURAZNO 5X10X115ML</v>
      </c>
      <c r="C78" s="18" t="str">
        <f aca="false">Stock_Seguridad!C78</f>
        <v>JUGOS Y NECTARES</v>
      </c>
      <c r="D78" s="18" t="str">
        <f aca="false">Stock_Seguridad!F78</f>
        <v>BY</v>
      </c>
      <c r="E78" s="19" t="str">
        <f aca="false">Stock_Seguridad!X78</f>
        <v>SOBRE MAX VENDIBLE</v>
      </c>
      <c r="F78" s="20" t="n">
        <f aca="false">Stock_Seguridad!W78</f>
        <v>29.8207435627956</v>
      </c>
      <c r="G78" s="21" t="n">
        <f aca="false">Stock_Seguridad!T78</f>
        <v>90798.2</v>
      </c>
      <c r="H78" s="21" t="n">
        <f aca="false">Stock_Seguridad!R78</f>
        <v>6474.61041014457</v>
      </c>
      <c r="I78" s="21" t="n">
        <f aca="false">Stock_Seguridad!S78</f>
        <v>9519.41041014457</v>
      </c>
      <c r="J78" s="21" t="n">
        <f aca="false">Stock_Seguridad!U78</f>
        <v>0</v>
      </c>
      <c r="K78" s="22"/>
      <c r="L78" s="23" t="n">
        <v>1150</v>
      </c>
      <c r="M78" s="23" t="n">
        <v>1196</v>
      </c>
      <c r="N78" s="23" t="n">
        <v>1150</v>
      </c>
      <c r="O78" s="24" t="n">
        <v>0.0659958204040276</v>
      </c>
      <c r="P78" s="24" t="n">
        <f aca="false">IF(ISNUMBER(Stock_Seguridad!N78),Stock_Seguridad!N78,"")</f>
        <v>0.273972602739726</v>
      </c>
      <c r="Q78" s="24" t="n">
        <f aca="false">IF(AND(ISNUMBER(O78),ISNUMBER(P78)),P78-O78,"")</f>
        <v>0.207976782335698</v>
      </c>
      <c r="R78" s="23" t="n">
        <f aca="false">MAX(0,G78-N(L78))</f>
        <v>89648.2</v>
      </c>
      <c r="S78" s="23" t="n">
        <f aca="false">SUMIFS(Cadenas_vs_FCST!$D$17:$D$652,Cadenas_vs_FCST!$A$17:$A$652,A78)</f>
        <v>35765</v>
      </c>
      <c r="T78" s="23" t="n">
        <f aca="false">SUMIFS(Cadenas_vs_FCST!$E$17:$E$652,Cadenas_vs_FCST!$A$17:$A$652,A78)</f>
        <v>23418.8333333333</v>
      </c>
      <c r="U78" s="24" t="n">
        <f aca="false">IF(T78&gt;0,S78/T78-1,"")</f>
        <v>0.527189655049711</v>
      </c>
      <c r="V78" s="3" t="str">
        <f aca="false">IF(OR(E78="BAJO SS",E78="BAJO SS (XLIB CUBRE)"),"SÍ","")</f>
        <v/>
      </c>
      <c r="W78" s="3" t="str">
        <f aca="false">IF(AND(V78="",N(L78)&gt;=Parametros!$B$17,G78&gt;=H78,R78&lt;H78),"SÍ","")</f>
        <v/>
      </c>
      <c r="X78" s="3" t="str">
        <f aca="false">IF(OR(E78="SOBRE MAX VENDIBLE",N(N78)&gt;=Parametros!$B$17,N(M78)&gt;=Parametros!$B$17),"SÍ","")</f>
        <v>SÍ</v>
      </c>
      <c r="Y78" s="3" t="str">
        <f aca="false">IF(AND(ISNUMBER(U78),MAX(S78,T78)&gt;=Parametros!$B$15,ABS(N(U78))&gt;Parametros!$B$14),"SÍ","")</f>
        <v>SÍ</v>
      </c>
      <c r="Z78" s="3" t="n">
        <f aca="false">COUNTIF(V78:Y78,"SÍ")</f>
        <v>2</v>
      </c>
      <c r="AA78" s="3" t="n">
        <f aca="false">(3*(V78="SÍ")+2*(W78="SÍ")+2*(X78="SÍ")+(Y78="SÍ"))*IF(LEFT(D78,1)="A",3,IF(OR(LEFT(D78,1)="B",D78="SIN HIST"),2,1))</f>
        <v>6</v>
      </c>
      <c r="AB78" s="3" t="str">
        <f aca="false">IF(AA78&gt;=9,"1-ALTA",IF(AA78&gt;=4,"2-MEDIA",IF(AA78&gt;0,"3-BAJA","")))</f>
        <v>2-MEDIA</v>
      </c>
      <c r="AC78" s="3" t="str">
        <f aca="false">IF(E78="BAJO SS","Stock + XLIB bajo el SS: riesgo real de quiebre, adelantar producción. ","")&amp;IF(E78="BAJO SS (XLIB CUBRE)","Disponible bajo el SS; depende de liberar "&amp;TEXT(J78,"#,##0")&amp;" kg"&amp;IF(ISNUMBER(K78)," el "&amp;TEXT(K78,"dd-mm"),"")&amp;". ","")&amp;IF(W78="SÍ","Stock parece sano pero "&amp;TEXT(L78,"#,##0")&amp;" kg no pasan filtro "&amp;Stock_Seguridad!O78&amp;": sin ellos queda bajo el SS para esa cadena. ","")&amp;IF(E78="SOBRE MAX VENDIBLE","Sobrestock vs vida útil: frenar producción/activar venta. ","")&amp;IF(N(N78)&gt;=Parametros!$B$17,TEXT(N78,"#,##0")&amp;" kg ya no los acepta ninguna cadena: venta intermedia/liquidación. ","")&amp;IF(N(M78)&gt;=Parametros!$B$17,TEXT(M78,"#,##0")&amp;" kg a punto de salir del filtro: despachar primero (FEFO). ","")&amp;IF(Y78="SÍ","Pedidos "&amp;IF(N(U78)&gt;0,"sobre","bajo")&amp;" FCST "&amp;TEXT(ABS(N(U78)),"0%")&amp;": revisar forecast con KAM.","")</f>
        <v>Sobrestock vs vida útil: frenar producción/activar venta. 1,150 kg ya no los acepta ninguna cadena: venta intermedia/liquidación. 1,196 kg a punto de salir del filtro: despachar primero (FEFO). Pedidos sobre FCST 53%: revisar forecast con KAM.</v>
      </c>
    </row>
    <row r="79" customFormat="false" ht="15" hidden="false" customHeight="false" outlineLevel="0" collapsed="false">
      <c r="A79" s="18" t="n">
        <f aca="false">Stock_Seguridad!A79</f>
        <v>30000248</v>
      </c>
      <c r="B79" s="18" t="str">
        <f aca="false">Stock_Seguridad!B79</f>
        <v>NECTAR WATTS PIÑA 12X1LT</v>
      </c>
      <c r="C79" s="18" t="str">
        <f aca="false">Stock_Seguridad!C79</f>
        <v>JUGOS Y NECTARES</v>
      </c>
      <c r="D79" s="18" t="str">
        <f aca="false">Stock_Seguridad!F79</f>
        <v>CX</v>
      </c>
      <c r="E79" s="19" t="str">
        <f aca="false">Stock_Seguridad!X79</f>
        <v>OK</v>
      </c>
      <c r="F79" s="20" t="n">
        <f aca="false">Stock_Seguridad!W79</f>
        <v>6.05513784461153</v>
      </c>
      <c r="G79" s="21" t="n">
        <f aca="false">Stock_Seguridad!T79</f>
        <v>18120</v>
      </c>
      <c r="H79" s="21" t="n">
        <f aca="false">Stock_Seguridad!R79</f>
        <v>1053.22323153291</v>
      </c>
      <c r="I79" s="21" t="n">
        <f aca="false">Stock_Seguridad!S79</f>
        <v>4045.72323153291</v>
      </c>
      <c r="J79" s="21" t="n">
        <f aca="false">Stock_Seguridad!U79</f>
        <v>0</v>
      </c>
      <c r="K79" s="22"/>
      <c r="L79" s="23" t="n">
        <v>0</v>
      </c>
      <c r="M79" s="23" t="n">
        <v>1308</v>
      </c>
      <c r="N79" s="23" t="n">
        <v>0</v>
      </c>
      <c r="O79" s="24" t="n">
        <v>0.0286852589641434</v>
      </c>
      <c r="P79" s="24" t="n">
        <f aca="false">IF(ISNUMBER(Stock_Seguridad!N79),Stock_Seguridad!N79,"")</f>
        <v>0.194520547945206</v>
      </c>
      <c r="Q79" s="24" t="n">
        <f aca="false">IF(AND(ISNUMBER(O79),ISNUMBER(P79)),P79-O79,"")</f>
        <v>0.165835288981062</v>
      </c>
      <c r="R79" s="23" t="n">
        <f aca="false">MAX(0,G79-N(L79))</f>
        <v>18120</v>
      </c>
      <c r="S79" s="23" t="n">
        <f aca="false">SUMIFS(Cadenas_vs_FCST!$D$17:$D$652,Cadenas_vs_FCST!$A$17:$A$652,A79)</f>
        <v>12024</v>
      </c>
      <c r="T79" s="23" t="n">
        <f aca="false">SUMIFS(Cadenas_vs_FCST!$E$17:$E$652,Cadenas_vs_FCST!$A$17:$A$652,A79)</f>
        <v>13236.5631548566</v>
      </c>
      <c r="U79" s="24" t="n">
        <f aca="false">IF(T79&gt;0,S79/T79-1,"")</f>
        <v>-0.0916070992651645</v>
      </c>
      <c r="V79" s="3" t="str">
        <f aca="false">IF(OR(E79="BAJO SS",E79="BAJO SS (XLIB CUBRE)"),"SÍ","")</f>
        <v/>
      </c>
      <c r="W79" s="3" t="str">
        <f aca="false">IF(AND(V79="",N(L79)&gt;=Parametros!$B$17,G79&gt;=H79,R79&lt;H79),"SÍ","")</f>
        <v/>
      </c>
      <c r="X79" s="3" t="str">
        <f aca="false">IF(OR(E79="SOBRE MAX VENDIBLE",N(N79)&gt;=Parametros!$B$17,N(M79)&gt;=Parametros!$B$17),"SÍ","")</f>
        <v>SÍ</v>
      </c>
      <c r="Y79" s="3" t="str">
        <f aca="false">IF(AND(ISNUMBER(U79),MAX(S79,T79)&gt;=Parametros!$B$15,ABS(N(U79))&gt;Parametros!$B$14),"SÍ","")</f>
        <v/>
      </c>
      <c r="Z79" s="3" t="n">
        <f aca="false">COUNTIF(V79:Y79,"SÍ")</f>
        <v>1</v>
      </c>
      <c r="AA79" s="3" t="n">
        <f aca="false">(3*(V79="SÍ")+2*(W79="SÍ")+2*(X79="SÍ")+(Y79="SÍ"))*IF(LEFT(D79,1)="A",3,IF(OR(LEFT(D79,1)="B",D79="SIN HIST"),2,1))</f>
        <v>2</v>
      </c>
      <c r="AB79" s="3" t="str">
        <f aca="false">IF(AA79&gt;=9,"1-ALTA",IF(AA79&gt;=4,"2-MEDIA",IF(AA79&gt;0,"3-BAJA","")))</f>
        <v>3-BAJA</v>
      </c>
      <c r="AC79" s="3" t="str">
        <f aca="false">IF(E79="BAJO SS","Stock + XLIB bajo el SS: riesgo real de quiebre, adelantar producción. ","")&amp;IF(E79="BAJO SS (XLIB CUBRE)","Disponible bajo el SS; depende de liberar "&amp;TEXT(J79,"#,##0")&amp;" kg"&amp;IF(ISNUMBER(K79)," el "&amp;TEXT(K79,"dd-mm"),"")&amp;". ","")&amp;IF(W79="SÍ","Stock parece sano pero "&amp;TEXT(L79,"#,##0")&amp;" kg no pasan filtro "&amp;Stock_Seguridad!O79&amp;": sin ellos queda bajo el SS para esa cadena. ","")&amp;IF(E79="SOBRE MAX VENDIBLE","Sobrestock vs vida útil: frenar producción/activar venta. ","")&amp;IF(N(N79)&gt;=Parametros!$B$17,TEXT(N79,"#,##0")&amp;" kg ya no los acepta ninguna cadena: venta intermedia/liquidación. ","")&amp;IF(N(M79)&gt;=Parametros!$B$17,TEXT(M79,"#,##0")&amp;" kg a punto de salir del filtro: despachar primero (FEFO). ","")&amp;IF(Y79="SÍ","Pedidos "&amp;IF(N(U79)&gt;0,"sobre","bajo")&amp;" FCST "&amp;TEXT(ABS(N(U79)),"0%")&amp;": revisar forecast con KAM.","")</f>
        <v>1,308 kg a punto de salir del filtro: despachar primero (FEFO). </v>
      </c>
    </row>
    <row r="80" customFormat="false" ht="15" hidden="false" customHeight="false" outlineLevel="0" collapsed="false">
      <c r="A80" s="18" t="n">
        <f aca="false">Stock_Seguridad!A80</f>
        <v>30000421</v>
      </c>
      <c r="B80" s="18" t="str">
        <f aca="false">Stock_Seguridad!B80</f>
        <v>LECHE S/LACTOSA VAINILLA 12X1LT</v>
      </c>
      <c r="C80" s="18" t="str">
        <f aca="false">Stock_Seguridad!C80</f>
        <v>LECHES LIQUIDAS</v>
      </c>
      <c r="D80" s="18" t="str">
        <f aca="false">Stock_Seguridad!F80</f>
        <v>CX</v>
      </c>
      <c r="E80" s="19" t="str">
        <f aca="false">Stock_Seguridad!X80</f>
        <v>OK</v>
      </c>
      <c r="F80" s="20" t="n">
        <f aca="false">Stock_Seguridad!W80</f>
        <v>3.58725088535518</v>
      </c>
      <c r="G80" s="21" t="n">
        <f aca="false">Stock_Seguridad!T80</f>
        <v>10332</v>
      </c>
      <c r="H80" s="21" t="n">
        <f aca="false">Stock_Seguridad!R80</f>
        <v>658.857959698821</v>
      </c>
      <c r="I80" s="21" t="n">
        <f aca="false">Stock_Seguridad!S80</f>
        <v>3539.05795969882</v>
      </c>
      <c r="J80" s="21" t="n">
        <f aca="false">Stock_Seguridad!U80</f>
        <v>0</v>
      </c>
      <c r="K80" s="22"/>
      <c r="L80" s="23" t="n">
        <v>168</v>
      </c>
      <c r="M80" s="23" t="n">
        <v>756</v>
      </c>
      <c r="N80" s="23" t="n">
        <v>24</v>
      </c>
      <c r="O80" s="24" t="n">
        <v>0.149941792782305</v>
      </c>
      <c r="P80" s="24" t="n">
        <f aca="false">IF(ISNUMBER(Stock_Seguridad!N80),Stock_Seguridad!N80,"")</f>
        <v>0.259259259259259</v>
      </c>
      <c r="Q80" s="24" t="n">
        <f aca="false">IF(AND(ISNUMBER(O80),ISNUMBER(P80)),P80-O80,"")</f>
        <v>0.109317466476954</v>
      </c>
      <c r="R80" s="23" t="n">
        <f aca="false">MAX(0,G80-N(L80))</f>
        <v>10164</v>
      </c>
      <c r="S80" s="23" t="n">
        <f aca="false">SUMIFS(Cadenas_vs_FCST!$D$17:$D$652,Cadenas_vs_FCST!$A$17:$A$652,A80)</f>
        <v>10764</v>
      </c>
      <c r="T80" s="23" t="n">
        <f aca="false">SUMIFS(Cadenas_vs_FCST!$E$17:$E$652,Cadenas_vs_FCST!$A$17:$A$652,A80)</f>
        <v>9983.09888268619</v>
      </c>
      <c r="U80" s="24" t="n">
        <f aca="false">IF(T80&gt;0,S80/T80-1,"")</f>
        <v>0.0782223161856221</v>
      </c>
      <c r="V80" s="3" t="str">
        <f aca="false">IF(OR(E80="BAJO SS",E80="BAJO SS (XLIB CUBRE)"),"SÍ","")</f>
        <v/>
      </c>
      <c r="W80" s="3" t="str">
        <f aca="false">IF(AND(V80="",N(L80)&gt;=Parametros!$B$17,G80&gt;=H80,R80&lt;H80),"SÍ","")</f>
        <v/>
      </c>
      <c r="X80" s="3" t="str">
        <f aca="false">IF(OR(E80="SOBRE MAX VENDIBLE",N(N80)&gt;=Parametros!$B$17,N(M80)&gt;=Parametros!$B$17),"SÍ","")</f>
        <v>SÍ</v>
      </c>
      <c r="Y80" s="3" t="str">
        <f aca="false">IF(AND(ISNUMBER(U80),MAX(S80,T80)&gt;=Parametros!$B$15,ABS(N(U80))&gt;Parametros!$B$14),"SÍ","")</f>
        <v/>
      </c>
      <c r="Z80" s="3" t="n">
        <f aca="false">COUNTIF(V80:Y80,"SÍ")</f>
        <v>1</v>
      </c>
      <c r="AA80" s="3" t="n">
        <f aca="false">(3*(V80="SÍ")+2*(W80="SÍ")+2*(X80="SÍ")+(Y80="SÍ"))*IF(LEFT(D80,1)="A",3,IF(OR(LEFT(D80,1)="B",D80="SIN HIST"),2,1))</f>
        <v>2</v>
      </c>
      <c r="AB80" s="3" t="str">
        <f aca="false">IF(AA80&gt;=9,"1-ALTA",IF(AA80&gt;=4,"2-MEDIA",IF(AA80&gt;0,"3-BAJA","")))</f>
        <v>3-BAJA</v>
      </c>
      <c r="AC80" s="3" t="str">
        <f aca="false">IF(E80="BAJO SS","Stock + XLIB bajo el SS: riesgo real de quiebre, adelantar producción. ","")&amp;IF(E80="BAJO SS (XLIB CUBRE)","Disponible bajo el SS; depende de liberar "&amp;TEXT(J80,"#,##0")&amp;" kg"&amp;IF(ISNUMBER(K80)," el "&amp;TEXT(K80,"dd-mm"),"")&amp;". ","")&amp;IF(W80="SÍ","Stock parece sano pero "&amp;TEXT(L80,"#,##0")&amp;" kg no pasan filtro "&amp;Stock_Seguridad!O80&amp;": sin ellos queda bajo el SS para esa cadena. ","")&amp;IF(E80="SOBRE MAX VENDIBLE","Sobrestock vs vida útil: frenar producción/activar venta. ","")&amp;IF(N(N80)&gt;=Parametros!$B$17,TEXT(N80,"#,##0")&amp;" kg ya no los acepta ninguna cadena: venta intermedia/liquidación. ","")&amp;IF(N(M80)&gt;=Parametros!$B$17,TEXT(M80,"#,##0")&amp;" kg a punto de salir del filtro: despachar primero (FEFO). ","")&amp;IF(Y80="SÍ","Pedidos "&amp;IF(N(U80)&gt;0,"sobre","bajo")&amp;" FCST "&amp;TEXT(ABS(N(U80)),"0%")&amp;": revisar forecast con KAM.","")</f>
        <v>756 kg a punto de salir del filtro: despachar primero (FEFO). </v>
      </c>
    </row>
    <row r="81" customFormat="false" ht="15" hidden="false" customHeight="false" outlineLevel="0" collapsed="false">
      <c r="A81" s="18" t="n">
        <f aca="false">Stock_Seguridad!A81</f>
        <v>30002359</v>
      </c>
      <c r="B81" s="18" t="str">
        <f aca="false">Stock_Seguridad!B81</f>
        <v>LECHE BON MOMENT DAN CAPPUCCINO 30X200ML</v>
      </c>
      <c r="C81" s="18" t="str">
        <f aca="false">Stock_Seguridad!C81</f>
        <v>LECHES LIQUIDAS</v>
      </c>
      <c r="D81" s="18" t="str">
        <f aca="false">Stock_Seguridad!F81</f>
        <v>BX</v>
      </c>
      <c r="E81" s="19" t="str">
        <f aca="false">Stock_Seguridad!X81</f>
        <v>BAJO SS</v>
      </c>
      <c r="F81" s="20" t="n">
        <f aca="false">Stock_Seguridad!W81</f>
        <v>0.315630179433595</v>
      </c>
      <c r="G81" s="21" t="n">
        <f aca="false">Stock_Seguridad!T81</f>
        <v>876</v>
      </c>
      <c r="H81" s="21" t="n">
        <f aca="false">Stock_Seguridad!R81</f>
        <v>2571.67102910341</v>
      </c>
      <c r="I81" s="21" t="n">
        <f aca="false">Stock_Seguridad!S81</f>
        <v>5347.07102910341</v>
      </c>
      <c r="J81" s="21" t="n">
        <f aca="false">Stock_Seguridad!U81</f>
        <v>0</v>
      </c>
      <c r="K81" s="22"/>
      <c r="L81" s="23" t="n">
        <v>0</v>
      </c>
      <c r="M81" s="23" t="n">
        <v>0</v>
      </c>
      <c r="N81" s="23" t="n">
        <v>0</v>
      </c>
      <c r="O81" s="24" t="n">
        <v>0.271232876712329</v>
      </c>
      <c r="P81" s="24" t="str">
        <f aca="false">IF(ISNUMBER(Stock_Seguridad!N81),Stock_Seguridad!N81,"")</f>
        <v/>
      </c>
      <c r="Q81" s="24" t="str">
        <f aca="false">IF(AND(ISNUMBER(O81),ISNUMBER(P81)),P81-O81,"")</f>
        <v/>
      </c>
      <c r="R81" s="23" t="n">
        <f aca="false">MAX(0,G81-N(L81))</f>
        <v>876</v>
      </c>
      <c r="S81" s="23" t="n">
        <f aca="false">SUMIFS(Cadenas_vs_FCST!$D$17:$D$652,Cadenas_vs_FCST!$A$17:$A$652,A81)</f>
        <v>16392</v>
      </c>
      <c r="T81" s="23" t="n">
        <f aca="false">SUMIFS(Cadenas_vs_FCST!$E$17:$E$652,Cadenas_vs_FCST!$A$17:$A$652,A81)</f>
        <v>12626.1306136282</v>
      </c>
      <c r="U81" s="24" t="n">
        <f aca="false">IF(T81&gt;0,S81/T81-1,"")</f>
        <v>0.298259973828165</v>
      </c>
      <c r="V81" s="3" t="str">
        <f aca="false">IF(OR(E81="BAJO SS",E81="BAJO SS (XLIB CUBRE)"),"SÍ","")</f>
        <v>SÍ</v>
      </c>
      <c r="W81" s="3" t="str">
        <f aca="false">IF(AND(V81="",N(L81)&gt;=Parametros!$B$17,G81&gt;=H81,R81&lt;H81),"SÍ","")</f>
        <v/>
      </c>
      <c r="X81" s="3" t="str">
        <f aca="false">IF(OR(E81="SOBRE MAX VENDIBLE",N(N81)&gt;=Parametros!$B$17,N(M81)&gt;=Parametros!$B$17),"SÍ","")</f>
        <v/>
      </c>
      <c r="Y81" s="3" t="str">
        <f aca="false">IF(AND(ISNUMBER(U81),MAX(S81,T81)&gt;=Parametros!$B$15,ABS(N(U81))&gt;Parametros!$B$14),"SÍ","")</f>
        <v>SÍ</v>
      </c>
      <c r="Z81" s="3" t="n">
        <f aca="false">COUNTIF(V81:Y81,"SÍ")</f>
        <v>2</v>
      </c>
      <c r="AA81" s="3" t="n">
        <f aca="false">(3*(V81="SÍ")+2*(W81="SÍ")+2*(X81="SÍ")+(Y81="SÍ"))*IF(LEFT(D81,1)="A",3,IF(OR(LEFT(D81,1)="B",D81="SIN HIST"),2,1))</f>
        <v>8</v>
      </c>
      <c r="AB81" s="3" t="str">
        <f aca="false">IF(AA81&gt;=9,"1-ALTA",IF(AA81&gt;=4,"2-MEDIA",IF(AA81&gt;0,"3-BAJA","")))</f>
        <v>2-MEDIA</v>
      </c>
      <c r="AC81" s="3" t="str">
        <f aca="false">IF(E81="BAJO SS","Stock + XLIB bajo el SS: riesgo real de quiebre, adelantar producción. ","")&amp;IF(E81="BAJO SS (XLIB CUBRE)","Disponible bajo el SS; depende de liberar "&amp;TEXT(J81,"#,##0")&amp;" kg"&amp;IF(ISNUMBER(K81)," el "&amp;TEXT(K81,"dd-mm"),"")&amp;". ","")&amp;IF(W81="SÍ","Stock parece sano pero "&amp;TEXT(L81,"#,##0")&amp;" kg no pasan filtro "&amp;Stock_Seguridad!O81&amp;": sin ellos queda bajo el SS para esa cadena. ","")&amp;IF(E81="SOBRE MAX VENDIBLE","Sobrestock vs vida útil: frenar producción/activar venta. ","")&amp;IF(N(N81)&gt;=Parametros!$B$17,TEXT(N81,"#,##0")&amp;" kg ya no los acepta ninguna cadena: venta intermedia/liquidación. ","")&amp;IF(N(M81)&gt;=Parametros!$B$17,TEXT(M81,"#,##0")&amp;" kg a punto de salir del filtro: despachar primero (FEFO). ","")&amp;IF(Y81="SÍ","Pedidos "&amp;IF(N(U81)&gt;0,"sobre","bajo")&amp;" FCST "&amp;TEXT(ABS(N(U81)),"0%")&amp;": revisar forecast con KAM.","")</f>
        <v>Stock + XLIB bajo el SS: riesgo real de quiebre, adelantar producción. Pedidos sobre FCST 30%: revisar forecast con KAM.</v>
      </c>
    </row>
    <row r="82" customFormat="false" ht="15" hidden="false" customHeight="false" outlineLevel="0" collapsed="false">
      <c r="A82" s="18" t="n">
        <f aca="false">Stock_Seguridad!A82</f>
        <v>30000327</v>
      </c>
      <c r="B82" s="18" t="str">
        <f aca="false">Stock_Seguridad!B82</f>
        <v>LECHE LONCO S/LACTOSA FRUTILLA 12X1LT</v>
      </c>
      <c r="C82" s="18" t="str">
        <f aca="false">Stock_Seguridad!C82</f>
        <v>LECHES LIQUIDAS</v>
      </c>
      <c r="D82" s="18" t="str">
        <f aca="false">Stock_Seguridad!F82</f>
        <v>CY</v>
      </c>
      <c r="E82" s="19" t="str">
        <f aca="false">Stock_Seguridad!X82</f>
        <v>OK</v>
      </c>
      <c r="F82" s="20" t="n">
        <f aca="false">Stock_Seguridad!W82</f>
        <v>6.19786251923317</v>
      </c>
      <c r="G82" s="21" t="n">
        <f aca="false">Stock_Seguridad!T82</f>
        <v>14904</v>
      </c>
      <c r="H82" s="21" t="n">
        <f aca="false">Stock_Seguridad!R82</f>
        <v>3965.49442971645</v>
      </c>
      <c r="I82" s="21" t="n">
        <f aca="false">Stock_Seguridad!S82</f>
        <v>6370.19442971645</v>
      </c>
      <c r="J82" s="21" t="n">
        <f aca="false">Stock_Seguridad!U82</f>
        <v>0</v>
      </c>
      <c r="K82" s="22"/>
      <c r="L82" s="23" t="n">
        <v>48</v>
      </c>
      <c r="M82" s="23" t="n">
        <v>0</v>
      </c>
      <c r="N82" s="23" t="n">
        <v>0</v>
      </c>
      <c r="O82" s="24" t="n">
        <v>0.0887489911218725</v>
      </c>
      <c r="P82" s="24" t="n">
        <f aca="false">IF(ISNUMBER(Stock_Seguridad!N82),Stock_Seguridad!N82,"")</f>
        <v>0.333333333333333</v>
      </c>
      <c r="Q82" s="24" t="n">
        <f aca="false">IF(AND(ISNUMBER(O82),ISNUMBER(P82)),P82-O82,"")</f>
        <v>0.244584342211461</v>
      </c>
      <c r="R82" s="23" t="n">
        <f aca="false">MAX(0,G82-N(L82))</f>
        <v>14856</v>
      </c>
      <c r="S82" s="23" t="n">
        <f aca="false">SUMIFS(Cadenas_vs_FCST!$D$17:$D$652,Cadenas_vs_FCST!$A$17:$A$652,A82)</f>
        <v>14280</v>
      </c>
      <c r="T82" s="23" t="n">
        <f aca="false">SUMIFS(Cadenas_vs_FCST!$E$17:$E$652,Cadenas_vs_FCST!$A$17:$A$652,A82)</f>
        <v>9614.41687320258</v>
      </c>
      <c r="U82" s="24" t="n">
        <f aca="false">IF(T82&gt;0,S82/T82-1,"")</f>
        <v>0.485269485224984</v>
      </c>
      <c r="V82" s="3" t="str">
        <f aca="false">IF(OR(E82="BAJO SS",E82="BAJO SS (XLIB CUBRE)"),"SÍ","")</f>
        <v/>
      </c>
      <c r="W82" s="3" t="str">
        <f aca="false">IF(AND(V82="",N(L82)&gt;=Parametros!$B$17,G82&gt;=H82,R82&lt;H82),"SÍ","")</f>
        <v/>
      </c>
      <c r="X82" s="3" t="str">
        <f aca="false">IF(OR(E82="SOBRE MAX VENDIBLE",N(N82)&gt;=Parametros!$B$17,N(M82)&gt;=Parametros!$B$17),"SÍ","")</f>
        <v/>
      </c>
      <c r="Y82" s="3" t="str">
        <f aca="false">IF(AND(ISNUMBER(U82),MAX(S82,T82)&gt;=Parametros!$B$15,ABS(N(U82))&gt;Parametros!$B$14),"SÍ","")</f>
        <v>SÍ</v>
      </c>
      <c r="Z82" s="3" t="n">
        <f aca="false">COUNTIF(V82:Y82,"SÍ")</f>
        <v>1</v>
      </c>
      <c r="AA82" s="3" t="n">
        <f aca="false">(3*(V82="SÍ")+2*(W82="SÍ")+2*(X82="SÍ")+(Y82="SÍ"))*IF(LEFT(D82,1)="A",3,IF(OR(LEFT(D82,1)="B",D82="SIN HIST"),2,1))</f>
        <v>1</v>
      </c>
      <c r="AB82" s="3" t="str">
        <f aca="false">IF(AA82&gt;=9,"1-ALTA",IF(AA82&gt;=4,"2-MEDIA",IF(AA82&gt;0,"3-BAJA","")))</f>
        <v>3-BAJA</v>
      </c>
      <c r="AC82" s="3" t="str">
        <f aca="false">IF(E82="BAJO SS","Stock + XLIB bajo el SS: riesgo real de quiebre, adelantar producción. ","")&amp;IF(E82="BAJO SS (XLIB CUBRE)","Disponible bajo el SS; depende de liberar "&amp;TEXT(J82,"#,##0")&amp;" kg"&amp;IF(ISNUMBER(K82)," el "&amp;TEXT(K82,"dd-mm"),"")&amp;". ","")&amp;IF(W82="SÍ","Stock parece sano pero "&amp;TEXT(L82,"#,##0")&amp;" kg no pasan filtro "&amp;Stock_Seguridad!O82&amp;": sin ellos queda bajo el SS para esa cadena. ","")&amp;IF(E82="SOBRE MAX VENDIBLE","Sobrestock vs vida útil: frenar producción/activar venta. ","")&amp;IF(N(N82)&gt;=Parametros!$B$17,TEXT(N82,"#,##0")&amp;" kg ya no los acepta ninguna cadena: venta intermedia/liquidación. ","")&amp;IF(N(M82)&gt;=Parametros!$B$17,TEXT(M82,"#,##0")&amp;" kg a punto de salir del filtro: despachar primero (FEFO). ","")&amp;IF(Y82="SÍ","Pedidos "&amp;IF(N(U82)&gt;0,"sobre","bajo")&amp;" FCST "&amp;TEXT(ABS(N(U82)),"0%")&amp;": revisar forecast con KAM.","")</f>
        <v>Pedidos sobre FCST 49%: revisar forecast con KAM.</v>
      </c>
    </row>
    <row r="83" customFormat="false" ht="15" hidden="false" customHeight="false" outlineLevel="0" collapsed="false">
      <c r="A83" s="18" t="n">
        <f aca="false">Stock_Seguridad!A83</f>
        <v>30002178</v>
      </c>
      <c r="B83" s="18" t="str">
        <f aca="false">Stock_Seguridad!B83</f>
        <v>SHAKE SHAKE CHOCOLATE 30X190ML</v>
      </c>
      <c r="C83" s="18" t="str">
        <f aca="false">Stock_Seguridad!C83</f>
        <v>LECHES LIQUIDAS</v>
      </c>
      <c r="D83" s="18" t="str">
        <f aca="false">Stock_Seguridad!F83</f>
        <v>CX</v>
      </c>
      <c r="E83" s="19" t="str">
        <f aca="false">Stock_Seguridad!X83</f>
        <v>OK</v>
      </c>
      <c r="F83" s="20" t="n">
        <f aca="false">Stock_Seguridad!W83</f>
        <v>3.9977769059762</v>
      </c>
      <c r="G83" s="21" t="n">
        <f aca="false">Stock_Seguridad!T83</f>
        <v>9171.3</v>
      </c>
      <c r="H83" s="21" t="n">
        <f aca="false">Stock_Seguridad!R83</f>
        <v>831.274816621534</v>
      </c>
      <c r="I83" s="21" t="n">
        <f aca="false">Stock_Seguridad!S83</f>
        <v>3125.37481662153</v>
      </c>
      <c r="J83" s="21" t="n">
        <f aca="false">Stock_Seguridad!U83</f>
        <v>0</v>
      </c>
      <c r="K83" s="22"/>
      <c r="L83" s="23" t="n">
        <v>96.9</v>
      </c>
      <c r="M83" s="23" t="n">
        <v>0</v>
      </c>
      <c r="N83" s="23" t="n">
        <v>0</v>
      </c>
      <c r="O83" s="24" t="n">
        <v>0.0821379738968303</v>
      </c>
      <c r="P83" s="24" t="n">
        <f aca="false">IF(ISNUMBER(Stock_Seguridad!N83),Stock_Seguridad!N83,"")</f>
        <v>0.19</v>
      </c>
      <c r="Q83" s="24" t="n">
        <f aca="false">IF(AND(ISNUMBER(O83),ISNUMBER(P83)),P83-O83,"")</f>
        <v>0.10786202610317</v>
      </c>
      <c r="R83" s="23" t="n">
        <f aca="false">MAX(0,G83-N(L83))</f>
        <v>9074.4</v>
      </c>
      <c r="S83" s="23" t="n">
        <f aca="false">SUMIFS(Cadenas_vs_FCST!$D$17:$D$652,Cadenas_vs_FCST!$A$17:$A$652,A83)</f>
        <v>6988.2</v>
      </c>
      <c r="T83" s="23" t="n">
        <f aca="false">SUMIFS(Cadenas_vs_FCST!$E$17:$E$652,Cadenas_vs_FCST!$A$17:$A$652,A83)</f>
        <v>7099.24851972842</v>
      </c>
      <c r="U83" s="24" t="n">
        <f aca="false">IF(T83&gt;0,S83/T83-1,"")</f>
        <v>-0.0156422921975222</v>
      </c>
      <c r="V83" s="3" t="str">
        <f aca="false">IF(OR(E83="BAJO SS",E83="BAJO SS (XLIB CUBRE)"),"SÍ","")</f>
        <v/>
      </c>
      <c r="W83" s="3" t="str">
        <f aca="false">IF(AND(V83="",N(L83)&gt;=Parametros!$B$17,G83&gt;=H83,R83&lt;H83),"SÍ","")</f>
        <v/>
      </c>
      <c r="X83" s="3" t="str">
        <f aca="false">IF(OR(E83="SOBRE MAX VENDIBLE",N(N83)&gt;=Parametros!$B$17,N(M83)&gt;=Parametros!$B$17),"SÍ","")</f>
        <v/>
      </c>
      <c r="Y83" s="3" t="str">
        <f aca="false">IF(AND(ISNUMBER(U83),MAX(S83,T83)&gt;=Parametros!$B$15,ABS(N(U83))&gt;Parametros!$B$14),"SÍ","")</f>
        <v/>
      </c>
      <c r="Z83" s="3" t="n">
        <f aca="false">COUNTIF(V83:Y83,"SÍ")</f>
        <v>0</v>
      </c>
      <c r="AA83" s="3" t="n">
        <f aca="false">(3*(V83="SÍ")+2*(W83="SÍ")+2*(X83="SÍ")+(Y83="SÍ"))*IF(LEFT(D83,1)="A",3,IF(OR(LEFT(D83,1)="B",D83="SIN HIST"),2,1))</f>
        <v>0</v>
      </c>
      <c r="AB83" s="3" t="str">
        <f aca="false">IF(AA83&gt;=9,"1-ALTA",IF(AA83&gt;=4,"2-MEDIA",IF(AA83&gt;0,"3-BAJA","")))</f>
        <v/>
      </c>
      <c r="AC83" s="3" t="str">
        <f aca="false">IF(E83="BAJO SS","Stock + XLIB bajo el SS: riesgo real de quiebre, adelantar producción. ","")&amp;IF(E83="BAJO SS (XLIB CUBRE)","Disponible bajo el SS; depende de liberar "&amp;TEXT(J83,"#,##0")&amp;" kg"&amp;IF(ISNUMBER(K83)," el "&amp;TEXT(K83,"dd-mm"),"")&amp;". ","")&amp;IF(W83="SÍ","Stock parece sano pero "&amp;TEXT(L83,"#,##0")&amp;" kg no pasan filtro "&amp;Stock_Seguridad!O83&amp;": sin ellos queda bajo el SS para esa cadena. ","")&amp;IF(E83="SOBRE MAX VENDIBLE","Sobrestock vs vida útil: frenar producción/activar venta. ","")&amp;IF(N(N83)&gt;=Parametros!$B$17,TEXT(N83,"#,##0")&amp;" kg ya no los acepta ninguna cadena: venta intermedia/liquidación. ","")&amp;IF(N(M83)&gt;=Parametros!$B$17,TEXT(M83,"#,##0")&amp;" kg a punto de salir del filtro: despachar primero (FEFO). ","")&amp;IF(Y83="SÍ","Pedidos "&amp;IF(N(U83)&gt;0,"sobre","bajo")&amp;" FCST "&amp;TEXT(ABS(N(U83)),"0%")&amp;": revisar forecast con KAM.","")</f>
        <v/>
      </c>
    </row>
    <row r="84" customFormat="false" ht="15" hidden="false" customHeight="false" outlineLevel="0" collapsed="false">
      <c r="A84" s="18" t="n">
        <f aca="false">Stock_Seguridad!A84</f>
        <v>30002358</v>
      </c>
      <c r="B84" s="18" t="str">
        <f aca="false">Stock_Seguridad!B84</f>
        <v>LECHE BON MOMENT DAN MOCACCINO 30X200ML</v>
      </c>
      <c r="C84" s="18" t="str">
        <f aca="false">Stock_Seguridad!C84</f>
        <v>LECHES LIQUIDAS</v>
      </c>
      <c r="D84" s="18" t="str">
        <f aca="false">Stock_Seguridad!F84</f>
        <v>CX</v>
      </c>
      <c r="E84" s="19" t="str">
        <f aca="false">Stock_Seguridad!X84</f>
        <v>OK</v>
      </c>
      <c r="F84" s="20" t="n">
        <f aca="false">Stock_Seguridad!W84</f>
        <v>4.6892964686559</v>
      </c>
      <c r="G84" s="21" t="n">
        <f aca="false">Stock_Seguridad!T84</f>
        <v>10278</v>
      </c>
      <c r="H84" s="21" t="n">
        <f aca="false">Stock_Seguridad!R84</f>
        <v>773.539901259205</v>
      </c>
      <c r="I84" s="21" t="n">
        <f aca="false">Stock_Seguridad!S84</f>
        <v>2965.33990125921</v>
      </c>
      <c r="J84" s="21" t="n">
        <f aca="false">Stock_Seguridad!U84</f>
        <v>0</v>
      </c>
      <c r="K84" s="22"/>
      <c r="L84" s="23" t="n">
        <v>0</v>
      </c>
      <c r="M84" s="23" t="n">
        <v>0</v>
      </c>
      <c r="N84" s="23" t="n">
        <v>0</v>
      </c>
      <c r="O84" s="24" t="n">
        <v>0.109638061879743</v>
      </c>
      <c r="P84" s="24" t="str">
        <f aca="false">IF(ISNUMBER(Stock_Seguridad!N84),Stock_Seguridad!N84,"")</f>
        <v/>
      </c>
      <c r="Q84" s="24" t="str">
        <f aca="false">IF(AND(ISNUMBER(O84),ISNUMBER(P84)),P84-O84,"")</f>
        <v/>
      </c>
      <c r="R84" s="23" t="n">
        <f aca="false">MAX(0,G84-N(L84))</f>
        <v>10278</v>
      </c>
      <c r="S84" s="23" t="n">
        <f aca="false">SUMIFS(Cadenas_vs_FCST!$D$17:$D$652,Cadenas_vs_FCST!$A$17:$A$652,A84)</f>
        <v>7752</v>
      </c>
      <c r="T84" s="23" t="n">
        <f aca="false">SUMIFS(Cadenas_vs_FCST!$E$17:$E$652,Cadenas_vs_FCST!$A$17:$A$652,A84)</f>
        <v>8573.85964798046</v>
      </c>
      <c r="U84" s="24" t="n">
        <f aca="false">IF(T84&gt;0,S84/T84-1,"")</f>
        <v>-0.0958564382581235</v>
      </c>
      <c r="V84" s="3" t="str">
        <f aca="false">IF(OR(E84="BAJO SS",E84="BAJO SS (XLIB CUBRE)"),"SÍ","")</f>
        <v/>
      </c>
      <c r="W84" s="3" t="str">
        <f aca="false">IF(AND(V84="",N(L84)&gt;=Parametros!$B$17,G84&gt;=H84,R84&lt;H84),"SÍ","")</f>
        <v/>
      </c>
      <c r="X84" s="3" t="str">
        <f aca="false">IF(OR(E84="SOBRE MAX VENDIBLE",N(N84)&gt;=Parametros!$B$17,N(M84)&gt;=Parametros!$B$17),"SÍ","")</f>
        <v/>
      </c>
      <c r="Y84" s="3" t="str">
        <f aca="false">IF(AND(ISNUMBER(U84),MAX(S84,T84)&gt;=Parametros!$B$15,ABS(N(U84))&gt;Parametros!$B$14),"SÍ","")</f>
        <v/>
      </c>
      <c r="Z84" s="3" t="n">
        <f aca="false">COUNTIF(V84:Y84,"SÍ")</f>
        <v>0</v>
      </c>
      <c r="AA84" s="3" t="n">
        <f aca="false">(3*(V84="SÍ")+2*(W84="SÍ")+2*(X84="SÍ")+(Y84="SÍ"))*IF(LEFT(D84,1)="A",3,IF(OR(LEFT(D84,1)="B",D84="SIN HIST"),2,1))</f>
        <v>0</v>
      </c>
      <c r="AB84" s="3" t="str">
        <f aca="false">IF(AA84&gt;=9,"1-ALTA",IF(AA84&gt;=4,"2-MEDIA",IF(AA84&gt;0,"3-BAJA","")))</f>
        <v/>
      </c>
      <c r="AC84" s="3" t="str">
        <f aca="false">IF(E84="BAJO SS","Stock + XLIB bajo el SS: riesgo real de quiebre, adelantar producción. ","")&amp;IF(E84="BAJO SS (XLIB CUBRE)","Disponible bajo el SS; depende de liberar "&amp;TEXT(J84,"#,##0")&amp;" kg"&amp;IF(ISNUMBER(K84)," el "&amp;TEXT(K84,"dd-mm"),"")&amp;". ","")&amp;IF(W84="SÍ","Stock parece sano pero "&amp;TEXT(L84,"#,##0")&amp;" kg no pasan filtro "&amp;Stock_Seguridad!O84&amp;": sin ellos queda bajo el SS para esa cadena. ","")&amp;IF(E84="SOBRE MAX VENDIBLE","Sobrestock vs vida útil: frenar producción/activar venta. ","")&amp;IF(N(N84)&gt;=Parametros!$B$17,TEXT(N84,"#,##0")&amp;" kg ya no los acepta ninguna cadena: venta intermedia/liquidación. ","")&amp;IF(N(M84)&gt;=Parametros!$B$17,TEXT(M84,"#,##0")&amp;" kg a punto de salir del filtro: despachar primero (FEFO). ","")&amp;IF(Y84="SÍ","Pedidos "&amp;IF(N(U84)&gt;0,"sobre","bajo")&amp;" FCST "&amp;TEXT(ABS(N(U84)),"0%")&amp;": revisar forecast con KAM.","")</f>
        <v/>
      </c>
    </row>
    <row r="85" customFormat="false" ht="15" hidden="false" customHeight="false" outlineLevel="0" collapsed="false">
      <c r="A85" s="18" t="n">
        <f aca="false">Stock_Seguridad!A85</f>
        <v>30001924</v>
      </c>
      <c r="B85" s="18" t="str">
        <f aca="false">Stock_Seguridad!B85</f>
        <v>JUGO 100% WATTS NRJA MIX LV 12X1LT</v>
      </c>
      <c r="C85" s="18" t="str">
        <f aca="false">Stock_Seguridad!C85</f>
        <v>JUGOS Y NECTARES</v>
      </c>
      <c r="D85" s="18" t="str">
        <f aca="false">Stock_Seguridad!F85</f>
        <v>CY</v>
      </c>
      <c r="E85" s="19" t="str">
        <f aca="false">Stock_Seguridad!X85</f>
        <v>OK</v>
      </c>
      <c r="F85" s="20" t="n">
        <f aca="false">Stock_Seguridad!W85</f>
        <v>3.65843410056492</v>
      </c>
      <c r="G85" s="21" t="n">
        <f aca="false">Stock_Seguridad!T85</f>
        <v>7836</v>
      </c>
      <c r="H85" s="21" t="n">
        <f aca="false">Stock_Seguridad!R85</f>
        <v>961.768631154355</v>
      </c>
      <c r="I85" s="21" t="n">
        <f aca="false">Stock_Seguridad!S85</f>
        <v>3103.66863115435</v>
      </c>
      <c r="J85" s="21" t="n">
        <f aca="false">Stock_Seguridad!U85</f>
        <v>0</v>
      </c>
      <c r="K85" s="22"/>
      <c r="L85" s="23" t="n">
        <v>7836</v>
      </c>
      <c r="M85" s="23" t="n">
        <v>0</v>
      </c>
      <c r="N85" s="23" t="n">
        <v>12</v>
      </c>
      <c r="O85" s="24" t="n">
        <v>0.273246554364472</v>
      </c>
      <c r="P85" s="24" t="n">
        <f aca="false">IF(ISNUMBER(Stock_Seguridad!N85),Stock_Seguridad!N85,"")</f>
        <v>0.190217391304348</v>
      </c>
      <c r="Q85" s="24" t="n">
        <f aca="false">IF(AND(ISNUMBER(O85),ISNUMBER(P85)),P85-O85,"")</f>
        <v>-0.0830291630601239</v>
      </c>
      <c r="R85" s="23" t="n">
        <f aca="false">MAX(0,G85-N(L85))</f>
        <v>0</v>
      </c>
      <c r="S85" s="23" t="n">
        <f aca="false">SUMIFS(Cadenas_vs_FCST!$D$17:$D$652,Cadenas_vs_FCST!$A$17:$A$652,A85)</f>
        <v>5556</v>
      </c>
      <c r="T85" s="23" t="n">
        <f aca="false">SUMIFS(Cadenas_vs_FCST!$E$17:$E$652,Cadenas_vs_FCST!$A$17:$A$652,A85)</f>
        <v>4955.48461821477</v>
      </c>
      <c r="U85" s="24" t="n">
        <f aca="false">IF(T85&gt;0,S85/T85-1,"")</f>
        <v>0.121181968677277</v>
      </c>
      <c r="V85" s="3" t="str">
        <f aca="false">IF(OR(E85="BAJO SS",E85="BAJO SS (XLIB CUBRE)"),"SÍ","")</f>
        <v/>
      </c>
      <c r="W85" s="3" t="str">
        <f aca="false">IF(AND(V85="",N(L85)&gt;=Parametros!$B$17,G85&gt;=H85,R85&lt;H85),"SÍ","")</f>
        <v>SÍ</v>
      </c>
      <c r="X85" s="3" t="str">
        <f aca="false">IF(OR(E85="SOBRE MAX VENDIBLE",N(N85)&gt;=Parametros!$B$17,N(M85)&gt;=Parametros!$B$17),"SÍ","")</f>
        <v/>
      </c>
      <c r="Y85" s="3" t="str">
        <f aca="false">IF(AND(ISNUMBER(U85),MAX(S85,T85)&gt;=Parametros!$B$15,ABS(N(U85))&gt;Parametros!$B$14),"SÍ","")</f>
        <v/>
      </c>
      <c r="Z85" s="3" t="n">
        <f aca="false">COUNTIF(V85:Y85,"SÍ")</f>
        <v>1</v>
      </c>
      <c r="AA85" s="3" t="n">
        <f aca="false">(3*(V85="SÍ")+2*(W85="SÍ")+2*(X85="SÍ")+(Y85="SÍ"))*IF(LEFT(D85,1)="A",3,IF(OR(LEFT(D85,1)="B",D85="SIN HIST"),2,1))</f>
        <v>2</v>
      </c>
      <c r="AB85" s="3" t="str">
        <f aca="false">IF(AA85&gt;=9,"1-ALTA",IF(AA85&gt;=4,"2-MEDIA",IF(AA85&gt;0,"3-BAJA","")))</f>
        <v>3-BAJA</v>
      </c>
      <c r="AC85" s="3" t="str">
        <f aca="false">IF(E85="BAJO SS","Stock + XLIB bajo el SS: riesgo real de quiebre, adelantar producción. ","")&amp;IF(E85="BAJO SS (XLIB CUBRE)","Disponible bajo el SS; depende de liberar "&amp;TEXT(J85,"#,##0")&amp;" kg"&amp;IF(ISNUMBER(K85)," el "&amp;TEXT(K85,"dd-mm"),"")&amp;". ","")&amp;IF(W85="SÍ","Stock parece sano pero "&amp;TEXT(L85,"#,##0")&amp;" kg no pasan filtro "&amp;Stock_Seguridad!O85&amp;": sin ellos queda bajo el SS para esa cadena. ","")&amp;IF(E85="SOBRE MAX VENDIBLE","Sobrestock vs vida útil: frenar producción/activar venta. ","")&amp;IF(N(N85)&gt;=Parametros!$B$17,TEXT(N85,"#,##0")&amp;" kg ya no los acepta ninguna cadena: venta intermedia/liquidación. ","")&amp;IF(N(M85)&gt;=Parametros!$B$17,TEXT(M85,"#,##0")&amp;" kg a punto de salir del filtro: despachar primero (FEFO). ","")&amp;IF(Y85="SÍ","Pedidos "&amp;IF(N(U85)&gt;0,"sobre","bajo")&amp;" FCST "&amp;TEXT(ABS(N(U85)),"0%")&amp;": revisar forecast con KAM.","")</f>
        <v>Stock parece sano pero 7,836 kg no pasan filtro CENCOSUD CENTRAL: sin ellos queda bajo el SS para esa cadena. </v>
      </c>
    </row>
    <row r="86" customFormat="false" ht="15" hidden="false" customHeight="false" outlineLevel="0" collapsed="false">
      <c r="A86" s="18" t="n">
        <f aca="false">Stock_Seguridad!A86</f>
        <v>30002228</v>
      </c>
      <c r="B86" s="18" t="str">
        <f aca="false">Stock_Seguridad!B86</f>
        <v>NECTAR WATTS DAMASCO 5X10X115ML</v>
      </c>
      <c r="C86" s="18" t="str">
        <f aca="false">Stock_Seguridad!C86</f>
        <v>JUGOS Y NECTARES</v>
      </c>
      <c r="D86" s="18" t="str">
        <f aca="false">Stock_Seguridad!F86</f>
        <v>CY</v>
      </c>
      <c r="E86" s="19" t="str">
        <f aca="false">Stock_Seguridad!X86</f>
        <v>BAJO SS (XLIB CUBRE)</v>
      </c>
      <c r="F86" s="20" t="n">
        <f aca="false">Stock_Seguridad!W86</f>
        <v>9.90241723100075</v>
      </c>
      <c r="G86" s="21" t="n">
        <f aca="false">Stock_Seguridad!T86</f>
        <v>172.5</v>
      </c>
      <c r="H86" s="21" t="n">
        <f aca="false">Stock_Seguridad!R86</f>
        <v>2787.34125823757</v>
      </c>
      <c r="I86" s="21" t="n">
        <f aca="false">Stock_Seguridad!S86</f>
        <v>4913.74125823758</v>
      </c>
      <c r="J86" s="21" t="n">
        <f aca="false">Stock_Seguridad!U86</f>
        <v>20884</v>
      </c>
      <c r="K86" s="22" t="n">
        <v>46319</v>
      </c>
      <c r="L86" s="23" t="n">
        <v>0</v>
      </c>
      <c r="M86" s="23" t="n">
        <v>172.5</v>
      </c>
      <c r="N86" s="23" t="n">
        <v>0</v>
      </c>
      <c r="O86" s="24" t="n">
        <v>0.00188421627525942</v>
      </c>
      <c r="P86" s="24" t="n">
        <f aca="false">IF(ISNUMBER(Stock_Seguridad!N86),Stock_Seguridad!N86,"")</f>
        <v>0.273972602739726</v>
      </c>
      <c r="Q86" s="24" t="n">
        <f aca="false">IF(AND(ISNUMBER(O86),ISNUMBER(P86)),P86-O86,"")</f>
        <v>0.272088386464467</v>
      </c>
      <c r="R86" s="23" t="n">
        <f aca="false">MAX(0,G86-N(L86))</f>
        <v>172.5</v>
      </c>
      <c r="S86" s="23" t="n">
        <f aca="false">SUMIFS(Cadenas_vs_FCST!$D$17:$D$652,Cadenas_vs_FCST!$A$17:$A$652,A86)</f>
        <v>20125</v>
      </c>
      <c r="T86" s="23" t="n">
        <f aca="false">SUMIFS(Cadenas_vs_FCST!$E$17:$E$652,Cadenas_vs_FCST!$A$17:$A$652,A86)</f>
        <v>13152.6145833333</v>
      </c>
      <c r="U86" s="24" t="n">
        <f aca="false">IF(T86&gt;0,S86/T86-1,"")</f>
        <v>0.530114022006081</v>
      </c>
      <c r="V86" s="3" t="str">
        <f aca="false">IF(OR(E86="BAJO SS",E86="BAJO SS (XLIB CUBRE)"),"SÍ","")</f>
        <v>SÍ</v>
      </c>
      <c r="W86" s="3" t="str">
        <f aca="false">IF(AND(V86="",N(L86)&gt;=Parametros!$B$17,G86&gt;=H86,R86&lt;H86),"SÍ","")</f>
        <v/>
      </c>
      <c r="X86" s="3" t="str">
        <f aca="false">IF(OR(E86="SOBRE MAX VENDIBLE",N(N86)&gt;=Parametros!$B$17,N(M86)&gt;=Parametros!$B$17),"SÍ","")</f>
        <v/>
      </c>
      <c r="Y86" s="3" t="str">
        <f aca="false">IF(AND(ISNUMBER(U86),MAX(S86,T86)&gt;=Parametros!$B$15,ABS(N(U86))&gt;Parametros!$B$14),"SÍ","")</f>
        <v>SÍ</v>
      </c>
      <c r="Z86" s="3" t="n">
        <f aca="false">COUNTIF(V86:Y86,"SÍ")</f>
        <v>2</v>
      </c>
      <c r="AA86" s="3" t="n">
        <f aca="false">(3*(V86="SÍ")+2*(W86="SÍ")+2*(X86="SÍ")+(Y86="SÍ"))*IF(LEFT(D86,1)="A",3,IF(OR(LEFT(D86,1)="B",D86="SIN HIST"),2,1))</f>
        <v>4</v>
      </c>
      <c r="AB86" s="3" t="str">
        <f aca="false">IF(AA86&gt;=9,"1-ALTA",IF(AA86&gt;=4,"2-MEDIA",IF(AA86&gt;0,"3-BAJA","")))</f>
        <v>2-MEDIA</v>
      </c>
      <c r="AC86" s="3" t="str">
        <f aca="false">IF(E86="BAJO SS","Stock + XLIB bajo el SS: riesgo real de quiebre, adelantar producción. ","")&amp;IF(E86="BAJO SS (XLIB CUBRE)","Disponible bajo el SS; depende de liberar "&amp;TEXT(J86,"#,##0")&amp;" kg"&amp;IF(ISNUMBER(K86)," el "&amp;TEXT(K86,"dd-mm"),"")&amp;". ","")&amp;IF(W86="SÍ","Stock parece sano pero "&amp;TEXT(L86,"#,##0")&amp;" kg no pasan filtro "&amp;Stock_Seguridad!O86&amp;": sin ellos queda bajo el SS para esa cadena. ","")&amp;IF(E86="SOBRE MAX VENDIBLE","Sobrestock vs vida útil: frenar producción/activar venta. ","")&amp;IF(N(N86)&gt;=Parametros!$B$17,TEXT(N86,"#,##0")&amp;" kg ya no los acepta ninguna cadena: venta intermedia/liquidación. ","")&amp;IF(N(M86)&gt;=Parametros!$B$17,TEXT(M86,"#,##0")&amp;" kg a punto de salir del filtro: despachar primero (FEFO). ","")&amp;IF(Y86="SÍ","Pedidos "&amp;IF(N(U86)&gt;0,"sobre","bajo")&amp;" FCST "&amp;TEXT(ABS(N(U86)),"0%")&amp;": revisar forecast con KAM.","")</f>
        <v>Disponible bajo el SS; depende de liberar 20,884 kg el 24-10. Pedidos sobre FCST 53%: revisar forecast con KAM.</v>
      </c>
    </row>
    <row r="87" customFormat="false" ht="15" hidden="false" customHeight="false" outlineLevel="0" collapsed="false">
      <c r="A87" s="18" t="n">
        <f aca="false">Stock_Seguridad!A87</f>
        <v>30000006</v>
      </c>
      <c r="B87" s="18" t="str">
        <f aca="false">Stock_Seguridad!B87</f>
        <v>LECHE UHT MOMENTS MOCA 12X1LT</v>
      </c>
      <c r="C87" s="18" t="str">
        <f aca="false">Stock_Seguridad!C87</f>
        <v>LECHES LIQUIDAS</v>
      </c>
      <c r="D87" s="18" t="str">
        <f aca="false">Stock_Seguridad!F87</f>
        <v>BX</v>
      </c>
      <c r="E87" s="19" t="str">
        <f aca="false">Stock_Seguridad!X87</f>
        <v>SOBRE MAX VENDIBLE</v>
      </c>
      <c r="F87" s="20" t="n">
        <f aca="false">Stock_Seguridad!W87</f>
        <v>13.4465095858335</v>
      </c>
      <c r="G87" s="21" t="n">
        <f aca="false">Stock_Seguridad!T87</f>
        <v>27564</v>
      </c>
      <c r="H87" s="21" t="n">
        <f aca="false">Stock_Seguridad!R87</f>
        <v>3214.47827117753</v>
      </c>
      <c r="I87" s="21" t="n">
        <f aca="false">Stock_Seguridad!S87</f>
        <v>5264.37827117753</v>
      </c>
      <c r="J87" s="21" t="n">
        <f aca="false">Stock_Seguridad!U87</f>
        <v>0</v>
      </c>
      <c r="K87" s="22"/>
      <c r="L87" s="23" t="n">
        <v>3780</v>
      </c>
      <c r="M87" s="23" t="n">
        <v>9708</v>
      </c>
      <c r="N87" s="23" t="n">
        <v>132</v>
      </c>
      <c r="O87" s="24" t="n">
        <v>0.185061028770706</v>
      </c>
      <c r="P87" s="24" t="n">
        <f aca="false">IF(ISNUMBER(Stock_Seguridad!N87),Stock_Seguridad!N87,"")</f>
        <v>0.240641711229947</v>
      </c>
      <c r="Q87" s="24" t="n">
        <f aca="false">IF(AND(ISNUMBER(O87),ISNUMBER(P87)),P87-O87,"")</f>
        <v>0.0555806824592403</v>
      </c>
      <c r="R87" s="23" t="n">
        <f aca="false">MAX(0,G87-N(L87))</f>
        <v>23784</v>
      </c>
      <c r="S87" s="23" t="n">
        <f aca="false">SUMIFS(Cadenas_vs_FCST!$D$17:$D$652,Cadenas_vs_FCST!$A$17:$A$652,A87)</f>
        <v>15096</v>
      </c>
      <c r="T87" s="23" t="n">
        <f aca="false">SUMIFS(Cadenas_vs_FCST!$E$17:$E$652,Cadenas_vs_FCST!$A$17:$A$652,A87)</f>
        <v>10059.5729418196</v>
      </c>
      <c r="U87" s="24" t="n">
        <f aca="false">IF(T87&gt;0,S87/T87-1,"")</f>
        <v>0.500660126161318</v>
      </c>
      <c r="V87" s="3" t="str">
        <f aca="false">IF(OR(E87="BAJO SS",E87="BAJO SS (XLIB CUBRE)"),"SÍ","")</f>
        <v/>
      </c>
      <c r="W87" s="3" t="str">
        <f aca="false">IF(AND(V87="",N(L87)&gt;=Parametros!$B$17,G87&gt;=H87,R87&lt;H87),"SÍ","")</f>
        <v/>
      </c>
      <c r="X87" s="3" t="str">
        <f aca="false">IF(OR(E87="SOBRE MAX VENDIBLE",N(N87)&gt;=Parametros!$B$17,N(M87)&gt;=Parametros!$B$17),"SÍ","")</f>
        <v>SÍ</v>
      </c>
      <c r="Y87" s="3" t="str">
        <f aca="false">IF(AND(ISNUMBER(U87),MAX(S87,T87)&gt;=Parametros!$B$15,ABS(N(U87))&gt;Parametros!$B$14),"SÍ","")</f>
        <v>SÍ</v>
      </c>
      <c r="Z87" s="3" t="n">
        <f aca="false">COUNTIF(V87:Y87,"SÍ")</f>
        <v>2</v>
      </c>
      <c r="AA87" s="3" t="n">
        <f aca="false">(3*(V87="SÍ")+2*(W87="SÍ")+2*(X87="SÍ")+(Y87="SÍ"))*IF(LEFT(D87,1)="A",3,IF(OR(LEFT(D87,1)="B",D87="SIN HIST"),2,1))</f>
        <v>6</v>
      </c>
      <c r="AB87" s="3" t="str">
        <f aca="false">IF(AA87&gt;=9,"1-ALTA",IF(AA87&gt;=4,"2-MEDIA",IF(AA87&gt;0,"3-BAJA","")))</f>
        <v>2-MEDIA</v>
      </c>
      <c r="AC87" s="3" t="str">
        <f aca="false">IF(E87="BAJO SS","Stock + XLIB bajo el SS: riesgo real de quiebre, adelantar producción. ","")&amp;IF(E87="BAJO SS (XLIB CUBRE)","Disponible bajo el SS; depende de liberar "&amp;TEXT(J87,"#,##0")&amp;" kg"&amp;IF(ISNUMBER(K87)," el "&amp;TEXT(K87,"dd-mm"),"")&amp;". ","")&amp;IF(W87="SÍ","Stock parece sano pero "&amp;TEXT(L87,"#,##0")&amp;" kg no pasan filtro "&amp;Stock_Seguridad!O87&amp;": sin ellos queda bajo el SS para esa cadena. ","")&amp;IF(E87="SOBRE MAX VENDIBLE","Sobrestock vs vida útil: frenar producción/activar venta. ","")&amp;IF(N(N87)&gt;=Parametros!$B$17,TEXT(N87,"#,##0")&amp;" kg ya no los acepta ninguna cadena: venta intermedia/liquidación. ","")&amp;IF(N(M87)&gt;=Parametros!$B$17,TEXT(M87,"#,##0")&amp;" kg a punto de salir del filtro: despachar primero (FEFO). ","")&amp;IF(Y87="SÍ","Pedidos "&amp;IF(N(U87)&gt;0,"sobre","bajo")&amp;" FCST "&amp;TEXT(ABS(N(U87)),"0%")&amp;": revisar forecast con KAM.","")</f>
        <v>Sobrestock vs vida útil: frenar producción/activar venta. 9,708 kg a punto de salir del filtro: despachar primero (FEFO). Pedidos sobre FCST 50%: revisar forecast con KAM.</v>
      </c>
    </row>
    <row r="88" customFormat="false" ht="15" hidden="false" customHeight="false" outlineLevel="0" collapsed="false">
      <c r="A88" s="18" t="n">
        <f aca="false">Stock_Seguridad!A88</f>
        <v>30002273</v>
      </c>
      <c r="B88" s="18" t="str">
        <f aca="false">Stock_Seguridad!B88</f>
        <v>LECHE POLVO CALO CRECER 1+ 10X720GR</v>
      </c>
      <c r="C88" s="18" t="str">
        <f aca="false">Stock_Seguridad!C88</f>
        <v>LECHES EN POLVO</v>
      </c>
      <c r="D88" s="18" t="str">
        <f aca="false">Stock_Seguridad!F88</f>
        <v>CY</v>
      </c>
      <c r="E88" s="19" t="str">
        <f aca="false">Stock_Seguridad!X88</f>
        <v>OK</v>
      </c>
      <c r="F88" s="20" t="n">
        <f aca="false">Stock_Seguridad!W88</f>
        <v>4.12686418771128</v>
      </c>
      <c r="G88" s="21" t="n">
        <f aca="false">Stock_Seguridad!T88</f>
        <v>8301.6</v>
      </c>
      <c r="H88" s="21" t="n">
        <f aca="false">Stock_Seguridad!R88</f>
        <v>1567.0038933628</v>
      </c>
      <c r="I88" s="21" t="n">
        <f aca="false">Stock_Seguridad!S88</f>
        <v>3578.6038933628</v>
      </c>
      <c r="J88" s="21" t="n">
        <f aca="false">Stock_Seguridad!U88</f>
        <v>0</v>
      </c>
      <c r="K88" s="22"/>
      <c r="L88" s="23" t="n">
        <v>0</v>
      </c>
      <c r="M88" s="23" t="n">
        <v>0</v>
      </c>
      <c r="N88" s="23" t="n">
        <v>0</v>
      </c>
      <c r="O88" s="24" t="n">
        <v>0.0465654813529922</v>
      </c>
      <c r="P88" s="24" t="str">
        <f aca="false">IF(ISNUMBER(Stock_Seguridad!N88),Stock_Seguridad!N88,"")</f>
        <v/>
      </c>
      <c r="Q88" s="24" t="str">
        <f aca="false">IF(AND(ISNUMBER(O88),ISNUMBER(P88)),P88-O88,"")</f>
        <v/>
      </c>
      <c r="R88" s="23" t="n">
        <f aca="false">MAX(0,G88-N(L88))</f>
        <v>8301.6</v>
      </c>
      <c r="S88" s="23" t="n">
        <f aca="false">SUMIFS(Cadenas_vs_FCST!$D$17:$D$652,Cadenas_vs_FCST!$A$17:$A$652,A88)</f>
        <v>5940</v>
      </c>
      <c r="T88" s="23" t="n">
        <f aca="false">SUMIFS(Cadenas_vs_FCST!$E$17:$E$652,Cadenas_vs_FCST!$A$17:$A$652,A88)</f>
        <v>8090.93843496106</v>
      </c>
      <c r="U88" s="24" t="n">
        <f aca="false">IF(T88&gt;0,S88/T88-1,"")</f>
        <v>-0.265845359256081</v>
      </c>
      <c r="V88" s="3" t="str">
        <f aca="false">IF(OR(E88="BAJO SS",E88="BAJO SS (XLIB CUBRE)"),"SÍ","")</f>
        <v/>
      </c>
      <c r="W88" s="3" t="str">
        <f aca="false">IF(AND(V88="",N(L88)&gt;=Parametros!$B$17,G88&gt;=H88,R88&lt;H88),"SÍ","")</f>
        <v/>
      </c>
      <c r="X88" s="3" t="str">
        <f aca="false">IF(OR(E88="SOBRE MAX VENDIBLE",N(N88)&gt;=Parametros!$B$17,N(M88)&gt;=Parametros!$B$17),"SÍ","")</f>
        <v/>
      </c>
      <c r="Y88" s="3" t="str">
        <f aca="false">IF(AND(ISNUMBER(U88),MAX(S88,T88)&gt;=Parametros!$B$15,ABS(N(U88))&gt;Parametros!$B$14),"SÍ","")</f>
        <v>SÍ</v>
      </c>
      <c r="Z88" s="3" t="n">
        <f aca="false">COUNTIF(V88:Y88,"SÍ")</f>
        <v>1</v>
      </c>
      <c r="AA88" s="3" t="n">
        <f aca="false">(3*(V88="SÍ")+2*(W88="SÍ")+2*(X88="SÍ")+(Y88="SÍ"))*IF(LEFT(D88,1)="A",3,IF(OR(LEFT(D88,1)="B",D88="SIN HIST"),2,1))</f>
        <v>1</v>
      </c>
      <c r="AB88" s="3" t="str">
        <f aca="false">IF(AA88&gt;=9,"1-ALTA",IF(AA88&gt;=4,"2-MEDIA",IF(AA88&gt;0,"3-BAJA","")))</f>
        <v>3-BAJA</v>
      </c>
      <c r="AC88" s="3" t="str">
        <f aca="false">IF(E88="BAJO SS","Stock + XLIB bajo el SS: riesgo real de quiebre, adelantar producción. ","")&amp;IF(E88="BAJO SS (XLIB CUBRE)","Disponible bajo el SS; depende de liberar "&amp;TEXT(J88,"#,##0")&amp;" kg"&amp;IF(ISNUMBER(K88)," el "&amp;TEXT(K88,"dd-mm"),"")&amp;". ","")&amp;IF(W88="SÍ","Stock parece sano pero "&amp;TEXT(L88,"#,##0")&amp;" kg no pasan filtro "&amp;Stock_Seguridad!O88&amp;": sin ellos queda bajo el SS para esa cadena. ","")&amp;IF(E88="SOBRE MAX VENDIBLE","Sobrestock vs vida útil: frenar producción/activar venta. ","")&amp;IF(N(N88)&gt;=Parametros!$B$17,TEXT(N88,"#,##0")&amp;" kg ya no los acepta ninguna cadena: venta intermedia/liquidación. ","")&amp;IF(N(M88)&gt;=Parametros!$B$17,TEXT(M88,"#,##0")&amp;" kg a punto de salir del filtro: despachar primero (FEFO). ","")&amp;IF(Y88="SÍ","Pedidos "&amp;IF(N(U88)&gt;0,"sobre","bajo")&amp;" FCST "&amp;TEXT(ABS(N(U88)),"0%")&amp;": revisar forecast con KAM.","")</f>
        <v>Pedidos bajo FCST 27%: revisar forecast con KAM.</v>
      </c>
    </row>
    <row r="89" customFormat="false" ht="15" hidden="false" customHeight="false" outlineLevel="0" collapsed="false">
      <c r="A89" s="18" t="n">
        <f aca="false">Stock_Seguridad!A89</f>
        <v>30000383</v>
      </c>
      <c r="B89" s="18" t="str">
        <f aca="false">Stock_Seguridad!B89</f>
        <v>CREMA S/LACT LONCOLECHE 12X1LT</v>
      </c>
      <c r="C89" s="18" t="str">
        <f aca="false">Stock_Seguridad!C89</f>
        <v>CREMA</v>
      </c>
      <c r="D89" s="18" t="str">
        <f aca="false">Stock_Seguridad!F89</f>
        <v>CX</v>
      </c>
      <c r="E89" s="19" t="str">
        <f aca="false">Stock_Seguridad!X89</f>
        <v>OK</v>
      </c>
      <c r="F89" s="20" t="n">
        <f aca="false">Stock_Seguridad!W89</f>
        <v>6.85620377978636</v>
      </c>
      <c r="G89" s="21" t="n">
        <f aca="false">Stock_Seguridad!T89</f>
        <v>12516</v>
      </c>
      <c r="H89" s="21" t="n">
        <f aca="false">Stock_Seguridad!R89</f>
        <v>1034.27848724815</v>
      </c>
      <c r="I89" s="21" t="n">
        <f aca="false">Stock_Seguridad!S89</f>
        <v>2859.77848724815</v>
      </c>
      <c r="J89" s="21" t="n">
        <f aca="false">Stock_Seguridad!U89</f>
        <v>0</v>
      </c>
      <c r="K89" s="22"/>
      <c r="L89" s="23" t="n">
        <v>12504</v>
      </c>
      <c r="M89" s="23" t="n">
        <v>0</v>
      </c>
      <c r="N89" s="23" t="n">
        <v>312</v>
      </c>
      <c r="O89" s="24" t="n">
        <v>0.364520153550864</v>
      </c>
      <c r="P89" s="24" t="n">
        <f aca="false">IF(ISNUMBER(Stock_Seguridad!N89),Stock_Seguridad!N89,"")</f>
        <v>0.259259259259259</v>
      </c>
      <c r="Q89" s="24" t="n">
        <f aca="false">IF(AND(ISNUMBER(O89),ISNUMBER(P89)),P89-O89,"")</f>
        <v>-0.105260894291604</v>
      </c>
      <c r="R89" s="23" t="n">
        <f aca="false">MAX(0,G89-N(L89))</f>
        <v>12</v>
      </c>
      <c r="S89" s="23" t="n">
        <f aca="false">SUMIFS(Cadenas_vs_FCST!$D$17:$D$652,Cadenas_vs_FCST!$A$17:$A$652,A89)</f>
        <v>5256</v>
      </c>
      <c r="T89" s="23" t="n">
        <f aca="false">SUMIFS(Cadenas_vs_FCST!$E$17:$E$652,Cadenas_vs_FCST!$A$17:$A$652,A89)</f>
        <v>6378.22511683974</v>
      </c>
      <c r="U89" s="24" t="n">
        <f aca="false">IF(T89&gt;0,S89/T89-1,"")</f>
        <v>-0.175946301091953</v>
      </c>
      <c r="V89" s="3" t="str">
        <f aca="false">IF(OR(E89="BAJO SS",E89="BAJO SS (XLIB CUBRE)"),"SÍ","")</f>
        <v/>
      </c>
      <c r="W89" s="3" t="str">
        <f aca="false">IF(AND(V89="",N(L89)&gt;=Parametros!$B$17,G89&gt;=H89,R89&lt;H89),"SÍ","")</f>
        <v>SÍ</v>
      </c>
      <c r="X89" s="3" t="str">
        <f aca="false">IF(OR(E89="SOBRE MAX VENDIBLE",N(N89)&gt;=Parametros!$B$17,N(M89)&gt;=Parametros!$B$17),"SÍ","")</f>
        <v/>
      </c>
      <c r="Y89" s="3" t="str">
        <f aca="false">IF(AND(ISNUMBER(U89),MAX(S89,T89)&gt;=Parametros!$B$15,ABS(N(U89))&gt;Parametros!$B$14),"SÍ","")</f>
        <v/>
      </c>
      <c r="Z89" s="3" t="n">
        <f aca="false">COUNTIF(V89:Y89,"SÍ")</f>
        <v>1</v>
      </c>
      <c r="AA89" s="3" t="n">
        <f aca="false">(3*(V89="SÍ")+2*(W89="SÍ")+2*(X89="SÍ")+(Y89="SÍ"))*IF(LEFT(D89,1)="A",3,IF(OR(LEFT(D89,1)="B",D89="SIN HIST"),2,1))</f>
        <v>2</v>
      </c>
      <c r="AB89" s="3" t="str">
        <f aca="false">IF(AA89&gt;=9,"1-ALTA",IF(AA89&gt;=4,"2-MEDIA",IF(AA89&gt;0,"3-BAJA","")))</f>
        <v>3-BAJA</v>
      </c>
      <c r="AC89" s="3" t="str">
        <f aca="false">IF(E89="BAJO SS","Stock + XLIB bajo el SS: riesgo real de quiebre, adelantar producción. ","")&amp;IF(E89="BAJO SS (XLIB CUBRE)","Disponible bajo el SS; depende de liberar "&amp;TEXT(J89,"#,##0")&amp;" kg"&amp;IF(ISNUMBER(K89)," el "&amp;TEXT(K89,"dd-mm"),"")&amp;". ","")&amp;IF(W89="SÍ","Stock parece sano pero "&amp;TEXT(L89,"#,##0")&amp;" kg no pasan filtro "&amp;Stock_Seguridad!O89&amp;": sin ellos queda bajo el SS para esa cadena. ","")&amp;IF(E89="SOBRE MAX VENDIBLE","Sobrestock vs vida útil: frenar producción/activar venta. ","")&amp;IF(N(N89)&gt;=Parametros!$B$17,TEXT(N89,"#,##0")&amp;" kg ya no los acepta ninguna cadena: venta intermedia/liquidación. ","")&amp;IF(N(M89)&gt;=Parametros!$B$17,TEXT(M89,"#,##0")&amp;" kg a punto de salir del filtro: despachar primero (FEFO). ","")&amp;IF(Y89="SÍ","Pedidos "&amp;IF(N(U89)&gt;0,"sobre","bajo")&amp;" FCST "&amp;TEXT(ABS(N(U89)),"0%")&amp;": revisar forecast con KAM.","")</f>
        <v>Stock parece sano pero 12,504 kg no pasan filtro CENCOSUD CENTRAL: sin ellos queda bajo el SS para esa cadena. </v>
      </c>
    </row>
    <row r="90" customFormat="false" ht="15" hidden="false" customHeight="false" outlineLevel="0" collapsed="false">
      <c r="A90" s="18" t="n">
        <f aca="false">Stock_Seguridad!A90</f>
        <v>30002262</v>
      </c>
      <c r="B90" s="18" t="str">
        <f aca="false">Stock_Seguridad!B90</f>
        <v>NECTAR C/PROBIOTICOS WATTS MZN 5X6X115ML</v>
      </c>
      <c r="C90" s="18" t="str">
        <f aca="false">Stock_Seguridad!C90</f>
        <v>JUGOS Y NECTARES</v>
      </c>
      <c r="D90" s="18" t="str">
        <f aca="false">Stock_Seguridad!F90</f>
        <v>CY</v>
      </c>
      <c r="E90" s="19" t="str">
        <f aca="false">Stock_Seguridad!X90</f>
        <v>OK</v>
      </c>
      <c r="F90" s="20" t="n">
        <f aca="false">Stock_Seguridad!W90</f>
        <v>3.65366483331463</v>
      </c>
      <c r="G90" s="21" t="n">
        <f aca="false">Stock_Seguridad!T90</f>
        <v>6510.1</v>
      </c>
      <c r="H90" s="21" t="n">
        <f aca="false">Stock_Seguridad!R90</f>
        <v>2591.03320693947</v>
      </c>
      <c r="I90" s="21" t="n">
        <f aca="false">Stock_Seguridad!S90</f>
        <v>4372.83320693947</v>
      </c>
      <c r="J90" s="21" t="n">
        <f aca="false">Stock_Seguridad!U90</f>
        <v>0</v>
      </c>
      <c r="K90" s="22"/>
      <c r="L90" s="23" t="n">
        <v>3494.85</v>
      </c>
      <c r="M90" s="23" t="n">
        <v>0</v>
      </c>
      <c r="N90" s="23" t="n">
        <v>0</v>
      </c>
      <c r="O90" s="24" t="n">
        <v>0.216417594064653</v>
      </c>
      <c r="P90" s="24" t="n">
        <f aca="false">IF(ISNUMBER(Stock_Seguridad!N90),Stock_Seguridad!N90,"")</f>
        <v>0.196078431372549</v>
      </c>
      <c r="Q90" s="24" t="n">
        <f aca="false">IF(AND(ISNUMBER(O90),ISNUMBER(P90)),P90-O90,"")</f>
        <v>-0.0203391626921039</v>
      </c>
      <c r="R90" s="23" t="n">
        <f aca="false">MAX(0,G90-N(L90))</f>
        <v>3015.25</v>
      </c>
      <c r="S90" s="23" t="n">
        <f aca="false">SUMIFS(Cadenas_vs_FCST!$D$17:$D$652,Cadenas_vs_FCST!$A$17:$A$652,A90)</f>
        <v>8825.1</v>
      </c>
      <c r="T90" s="23" t="n">
        <f aca="false">SUMIFS(Cadenas_vs_FCST!$E$17:$E$652,Cadenas_vs_FCST!$A$17:$A$652,A90)</f>
        <v>6112.61045519058</v>
      </c>
      <c r="U90" s="24" t="n">
        <f aca="false">IF(T90&gt;0,S90/T90-1,"")</f>
        <v>0.443753051939714</v>
      </c>
      <c r="V90" s="3" t="str">
        <f aca="false">IF(OR(E90="BAJO SS",E90="BAJO SS (XLIB CUBRE)"),"SÍ","")</f>
        <v/>
      </c>
      <c r="W90" s="3" t="str">
        <f aca="false">IF(AND(V90="",N(L90)&gt;=Parametros!$B$17,G90&gt;=H90,R90&lt;H90),"SÍ","")</f>
        <v/>
      </c>
      <c r="X90" s="3" t="str">
        <f aca="false">IF(OR(E90="SOBRE MAX VENDIBLE",N(N90)&gt;=Parametros!$B$17,N(M90)&gt;=Parametros!$B$17),"SÍ","")</f>
        <v/>
      </c>
      <c r="Y90" s="3" t="str">
        <f aca="false">IF(AND(ISNUMBER(U90),MAX(S90,T90)&gt;=Parametros!$B$15,ABS(N(U90))&gt;Parametros!$B$14),"SÍ","")</f>
        <v>SÍ</v>
      </c>
      <c r="Z90" s="3" t="n">
        <f aca="false">COUNTIF(V90:Y90,"SÍ")</f>
        <v>1</v>
      </c>
      <c r="AA90" s="3" t="n">
        <f aca="false">(3*(V90="SÍ")+2*(W90="SÍ")+2*(X90="SÍ")+(Y90="SÍ"))*IF(LEFT(D90,1)="A",3,IF(OR(LEFT(D90,1)="B",D90="SIN HIST"),2,1))</f>
        <v>1</v>
      </c>
      <c r="AB90" s="3" t="str">
        <f aca="false">IF(AA90&gt;=9,"1-ALTA",IF(AA90&gt;=4,"2-MEDIA",IF(AA90&gt;0,"3-BAJA","")))</f>
        <v>3-BAJA</v>
      </c>
      <c r="AC90" s="3" t="str">
        <f aca="false">IF(E90="BAJO SS","Stock + XLIB bajo el SS: riesgo real de quiebre, adelantar producción. ","")&amp;IF(E90="BAJO SS (XLIB CUBRE)","Disponible bajo el SS; depende de liberar "&amp;TEXT(J90,"#,##0")&amp;" kg"&amp;IF(ISNUMBER(K90)," el "&amp;TEXT(K90,"dd-mm"),"")&amp;". ","")&amp;IF(W90="SÍ","Stock parece sano pero "&amp;TEXT(L90,"#,##0")&amp;" kg no pasan filtro "&amp;Stock_Seguridad!O90&amp;": sin ellos queda bajo el SS para esa cadena. ","")&amp;IF(E90="SOBRE MAX VENDIBLE","Sobrestock vs vida útil: frenar producción/activar venta. ","")&amp;IF(N(N90)&gt;=Parametros!$B$17,TEXT(N90,"#,##0")&amp;" kg ya no los acepta ninguna cadena: venta intermedia/liquidación. ","")&amp;IF(N(M90)&gt;=Parametros!$B$17,TEXT(M90,"#,##0")&amp;" kg a punto de salir del filtro: despachar primero (FEFO). ","")&amp;IF(Y90="SÍ","Pedidos "&amp;IF(N(U90)&gt;0,"sobre","bajo")&amp;" FCST "&amp;TEXT(ABS(N(U90)),"0%")&amp;": revisar forecast con KAM.","")</f>
        <v>Pedidos sobre FCST 44%: revisar forecast con KAM.</v>
      </c>
    </row>
    <row r="91" customFormat="false" ht="15" hidden="false" customHeight="false" outlineLevel="0" collapsed="false">
      <c r="A91" s="18" t="n">
        <f aca="false">Stock_Seguridad!A91</f>
        <v>30002276</v>
      </c>
      <c r="B91" s="18" t="str">
        <f aca="false">Stock_Seguridad!B91</f>
        <v>LECHE POLVO CALO CRECER 4+ 10X720GR</v>
      </c>
      <c r="C91" s="18" t="str">
        <f aca="false">Stock_Seguridad!C91</f>
        <v>LECHES EN POLVO</v>
      </c>
      <c r="D91" s="18" t="str">
        <f aca="false">Stock_Seguridad!F91</f>
        <v>CY</v>
      </c>
      <c r="E91" s="19" t="str">
        <f aca="false">Stock_Seguridad!X91</f>
        <v>OK</v>
      </c>
      <c r="F91" s="20" t="n">
        <f aca="false">Stock_Seguridad!W91</f>
        <v>4.18817416840797</v>
      </c>
      <c r="G91" s="21" t="n">
        <f aca="false">Stock_Seguridad!T91</f>
        <v>7416</v>
      </c>
      <c r="H91" s="21" t="n">
        <f aca="false">Stock_Seguridad!R91</f>
        <v>1657.42585470101</v>
      </c>
      <c r="I91" s="21" t="n">
        <f aca="false">Stock_Seguridad!S91</f>
        <v>3428.12585470101</v>
      </c>
      <c r="J91" s="21" t="n">
        <f aca="false">Stock_Seguridad!U91</f>
        <v>0</v>
      </c>
      <c r="K91" s="22"/>
      <c r="L91" s="23" t="n">
        <v>0</v>
      </c>
      <c r="M91" s="23" t="n">
        <v>0</v>
      </c>
      <c r="N91" s="23" t="n">
        <v>0</v>
      </c>
      <c r="O91" s="24" t="n">
        <v>0.102553398058252</v>
      </c>
      <c r="P91" s="24" t="str">
        <f aca="false">IF(ISNUMBER(Stock_Seguridad!N91),Stock_Seguridad!N91,"")</f>
        <v/>
      </c>
      <c r="Q91" s="24" t="str">
        <f aca="false">IF(AND(ISNUMBER(O91),ISNUMBER(P91)),P91-O91,"")</f>
        <v/>
      </c>
      <c r="R91" s="23" t="n">
        <f aca="false">MAX(0,G91-N(L91))</f>
        <v>7416</v>
      </c>
      <c r="S91" s="23" t="n">
        <f aca="false">SUMIFS(Cadenas_vs_FCST!$D$17:$D$652,Cadenas_vs_FCST!$A$17:$A$652,A91)</f>
        <v>6508.8</v>
      </c>
      <c r="T91" s="23" t="n">
        <f aca="false">SUMIFS(Cadenas_vs_FCST!$E$17:$E$652,Cadenas_vs_FCST!$A$17:$A$652,A91)</f>
        <v>7482.12154810618</v>
      </c>
      <c r="U91" s="24" t="n">
        <f aca="false">IF(T91&gt;0,S91/T91-1,"")</f>
        <v>-0.130086305314372</v>
      </c>
      <c r="V91" s="3" t="str">
        <f aca="false">IF(OR(E91="BAJO SS",E91="BAJO SS (XLIB CUBRE)"),"SÍ","")</f>
        <v/>
      </c>
      <c r="W91" s="3" t="str">
        <f aca="false">IF(AND(V91="",N(L91)&gt;=Parametros!$B$17,G91&gt;=H91,R91&lt;H91),"SÍ","")</f>
        <v/>
      </c>
      <c r="X91" s="3" t="str">
        <f aca="false">IF(OR(E91="SOBRE MAX VENDIBLE",N(N91)&gt;=Parametros!$B$17,N(M91)&gt;=Parametros!$B$17),"SÍ","")</f>
        <v/>
      </c>
      <c r="Y91" s="3" t="str">
        <f aca="false">IF(AND(ISNUMBER(U91),MAX(S91,T91)&gt;=Parametros!$B$15,ABS(N(U91))&gt;Parametros!$B$14),"SÍ","")</f>
        <v/>
      </c>
      <c r="Z91" s="3" t="n">
        <f aca="false">COUNTIF(V91:Y91,"SÍ")</f>
        <v>0</v>
      </c>
      <c r="AA91" s="3" t="n">
        <f aca="false">(3*(V91="SÍ")+2*(W91="SÍ")+2*(X91="SÍ")+(Y91="SÍ"))*IF(LEFT(D91,1)="A",3,IF(OR(LEFT(D91,1)="B",D91="SIN HIST"),2,1))</f>
        <v>0</v>
      </c>
      <c r="AB91" s="3" t="str">
        <f aca="false">IF(AA91&gt;=9,"1-ALTA",IF(AA91&gt;=4,"2-MEDIA",IF(AA91&gt;0,"3-BAJA","")))</f>
        <v/>
      </c>
      <c r="AC91" s="3" t="str">
        <f aca="false">IF(E91="BAJO SS","Stock + XLIB bajo el SS: riesgo real de quiebre, adelantar producción. ","")&amp;IF(E91="BAJO SS (XLIB CUBRE)","Disponible bajo el SS; depende de liberar "&amp;TEXT(J91,"#,##0")&amp;" kg"&amp;IF(ISNUMBER(K91)," el "&amp;TEXT(K91,"dd-mm"),"")&amp;". ","")&amp;IF(W91="SÍ","Stock parece sano pero "&amp;TEXT(L91,"#,##0")&amp;" kg no pasan filtro "&amp;Stock_Seguridad!O91&amp;": sin ellos queda bajo el SS para esa cadena. ","")&amp;IF(E91="SOBRE MAX VENDIBLE","Sobrestock vs vida útil: frenar producción/activar venta. ","")&amp;IF(N(N91)&gt;=Parametros!$B$17,TEXT(N91,"#,##0")&amp;" kg ya no los acepta ninguna cadena: venta intermedia/liquidación. ","")&amp;IF(N(M91)&gt;=Parametros!$B$17,TEXT(M91,"#,##0")&amp;" kg a punto de salir del filtro: despachar primero (FEFO). ","")&amp;IF(Y91="SÍ","Pedidos "&amp;IF(N(U91)&gt;0,"sobre","bajo")&amp;" FCST "&amp;TEXT(ABS(N(U91)),"0%")&amp;": revisar forecast con KAM.","")</f>
        <v/>
      </c>
    </row>
    <row r="92" customFormat="false" ht="15" hidden="false" customHeight="false" outlineLevel="0" collapsed="false">
      <c r="A92" s="18" t="n">
        <f aca="false">Stock_Seguridad!A92</f>
        <v>30002261</v>
      </c>
      <c r="B92" s="18" t="str">
        <f aca="false">Stock_Seguridad!B92</f>
        <v>NECTAR C/PROBIOTICO WATTS DZNO 5X6X115ML</v>
      </c>
      <c r="C92" s="18" t="str">
        <f aca="false">Stock_Seguridad!C92</f>
        <v>JUGOS Y NECTARES</v>
      </c>
      <c r="D92" s="18" t="str">
        <f aca="false">Stock_Seguridad!F92</f>
        <v>CZ</v>
      </c>
      <c r="E92" s="19" t="str">
        <f aca="false">Stock_Seguridad!X92</f>
        <v>BAJO P.REORDEN</v>
      </c>
      <c r="F92" s="20" t="n">
        <f aca="false">Stock_Seguridad!W92</f>
        <v>1.9082884328786</v>
      </c>
      <c r="G92" s="21" t="n">
        <f aca="false">Stock_Seguridad!T92</f>
        <v>3329.2</v>
      </c>
      <c r="H92" s="21" t="n">
        <f aca="false">Stock_Seguridad!R92</f>
        <v>2468.538680992</v>
      </c>
      <c r="I92" s="21" t="n">
        <f aca="false">Stock_Seguridad!S92</f>
        <v>4213.138680992</v>
      </c>
      <c r="J92" s="21" t="n">
        <f aca="false">Stock_Seguridad!U92</f>
        <v>0</v>
      </c>
      <c r="K92" s="22"/>
      <c r="L92" s="23" t="n">
        <v>1152.3</v>
      </c>
      <c r="M92" s="23" t="n">
        <v>0</v>
      </c>
      <c r="N92" s="23" t="n">
        <v>3.45</v>
      </c>
      <c r="O92" s="24" t="n">
        <v>0.160549222797928</v>
      </c>
      <c r="P92" s="24" t="n">
        <f aca="false">IF(ISNUMBER(Stock_Seguridad!N92),Stock_Seguridad!N92,"")</f>
        <v>0.196078431372549</v>
      </c>
      <c r="Q92" s="24" t="n">
        <f aca="false">IF(AND(ISNUMBER(O92),ISNUMBER(P92)),P92-O92,"")</f>
        <v>0.0355292085746215</v>
      </c>
      <c r="R92" s="23" t="n">
        <f aca="false">MAX(0,G92-N(L92))</f>
        <v>2176.9</v>
      </c>
      <c r="S92" s="23" t="n">
        <f aca="false">SUMIFS(Cadenas_vs_FCST!$D$17:$D$652,Cadenas_vs_FCST!$A$17:$A$652,A92)</f>
        <v>7207.05</v>
      </c>
      <c r="T92" s="23" t="n">
        <f aca="false">SUMIFS(Cadenas_vs_FCST!$E$17:$E$652,Cadenas_vs_FCST!$A$17:$A$652,A92)</f>
        <v>6153.0079576138</v>
      </c>
      <c r="U92" s="24" t="n">
        <f aca="false">IF(T92&gt;0,S92/T92-1,"")</f>
        <v>0.171305164831115</v>
      </c>
      <c r="V92" s="3" t="str">
        <f aca="false">IF(OR(E92="BAJO SS",E92="BAJO SS (XLIB CUBRE)"),"SÍ","")</f>
        <v/>
      </c>
      <c r="W92" s="3" t="str">
        <f aca="false">IF(AND(V92="",N(L92)&gt;=Parametros!$B$17,G92&gt;=H92,R92&lt;H92),"SÍ","")</f>
        <v>SÍ</v>
      </c>
      <c r="X92" s="3" t="str">
        <f aca="false">IF(OR(E92="SOBRE MAX VENDIBLE",N(N92)&gt;=Parametros!$B$17,N(M92)&gt;=Parametros!$B$17),"SÍ","")</f>
        <v/>
      </c>
      <c r="Y92" s="3" t="str">
        <f aca="false">IF(AND(ISNUMBER(U92),MAX(S92,T92)&gt;=Parametros!$B$15,ABS(N(U92))&gt;Parametros!$B$14),"SÍ","")</f>
        <v/>
      </c>
      <c r="Z92" s="3" t="n">
        <f aca="false">COUNTIF(V92:Y92,"SÍ")</f>
        <v>1</v>
      </c>
      <c r="AA92" s="3" t="n">
        <f aca="false">(3*(V92="SÍ")+2*(W92="SÍ")+2*(X92="SÍ")+(Y92="SÍ"))*IF(LEFT(D92,1)="A",3,IF(OR(LEFT(D92,1)="B",D92="SIN HIST"),2,1))</f>
        <v>2</v>
      </c>
      <c r="AB92" s="3" t="str">
        <f aca="false">IF(AA92&gt;=9,"1-ALTA",IF(AA92&gt;=4,"2-MEDIA",IF(AA92&gt;0,"3-BAJA","")))</f>
        <v>3-BAJA</v>
      </c>
      <c r="AC92" s="3" t="str">
        <f aca="false">IF(E92="BAJO SS","Stock + XLIB bajo el SS: riesgo real de quiebre, adelantar producción. ","")&amp;IF(E92="BAJO SS (XLIB CUBRE)","Disponible bajo el SS; depende de liberar "&amp;TEXT(J92,"#,##0")&amp;" kg"&amp;IF(ISNUMBER(K92)," el "&amp;TEXT(K92,"dd-mm"),"")&amp;". ","")&amp;IF(W92="SÍ","Stock parece sano pero "&amp;TEXT(L92,"#,##0")&amp;" kg no pasan filtro "&amp;Stock_Seguridad!O92&amp;": sin ellos queda bajo el SS para esa cadena. ","")&amp;IF(E92="SOBRE MAX VENDIBLE","Sobrestock vs vida útil: frenar producción/activar venta. ","")&amp;IF(N(N92)&gt;=Parametros!$B$17,TEXT(N92,"#,##0")&amp;" kg ya no los acepta ninguna cadena: venta intermedia/liquidación. ","")&amp;IF(N(M92)&gt;=Parametros!$B$17,TEXT(M92,"#,##0")&amp;" kg a punto de salir del filtro: despachar primero (FEFO). ","")&amp;IF(Y92="SÍ","Pedidos "&amp;IF(N(U92)&gt;0,"sobre","bajo")&amp;" FCST "&amp;TEXT(ABS(N(U92)),"0%")&amp;": revisar forecast con KAM.","")</f>
        <v>Stock parece sano pero 1,152 kg no pasan filtro WALMART: sin ellos queda bajo el SS para esa cadena. </v>
      </c>
    </row>
    <row r="93" customFormat="false" ht="15" hidden="false" customHeight="false" outlineLevel="0" collapsed="false">
      <c r="A93" s="18" t="n">
        <f aca="false">Stock_Seguridad!A93</f>
        <v>30002274</v>
      </c>
      <c r="B93" s="18" t="str">
        <f aca="false">Stock_Seguridad!B93</f>
        <v>LECHE POLVO CALO CRECER+1 BOLSA 6X1,35KG</v>
      </c>
      <c r="C93" s="18" t="str">
        <f aca="false">Stock_Seguridad!C93</f>
        <v>LECHES EN POLVO</v>
      </c>
      <c r="D93" s="18" t="str">
        <f aca="false">Stock_Seguridad!F93</f>
        <v>CX</v>
      </c>
      <c r="E93" s="19" t="str">
        <f aca="false">Stock_Seguridad!X93</f>
        <v>OK</v>
      </c>
      <c r="F93" s="20" t="n">
        <f aca="false">Stock_Seguridad!W93</f>
        <v>4.45478831523317</v>
      </c>
      <c r="G93" s="21" t="n">
        <f aca="false">Stock_Seguridad!T93</f>
        <v>7670.7</v>
      </c>
      <c r="H93" s="21" t="n">
        <f aca="false">Stock_Seguridad!R93</f>
        <v>737.871801001257</v>
      </c>
      <c r="I93" s="21" t="n">
        <f aca="false">Stock_Seguridad!S93</f>
        <v>2459.77180100126</v>
      </c>
      <c r="J93" s="21" t="n">
        <f aca="false">Stock_Seguridad!U93</f>
        <v>0</v>
      </c>
      <c r="K93" s="22"/>
      <c r="L93" s="23" t="n">
        <v>0</v>
      </c>
      <c r="M93" s="23" t="n">
        <v>0</v>
      </c>
      <c r="N93" s="23" t="n">
        <v>0</v>
      </c>
      <c r="O93" s="24" t="n">
        <v>0.105142555438226</v>
      </c>
      <c r="P93" s="24" t="str">
        <f aca="false">IF(ISNUMBER(Stock_Seguridad!N93),Stock_Seguridad!N93,"")</f>
        <v/>
      </c>
      <c r="Q93" s="24" t="str">
        <f aca="false">IF(AND(ISNUMBER(O93),ISNUMBER(P93)),P93-O93,"")</f>
        <v/>
      </c>
      <c r="R93" s="23" t="n">
        <f aca="false">MAX(0,G93-N(L93))</f>
        <v>7670.7</v>
      </c>
      <c r="S93" s="23" t="n">
        <f aca="false">SUMIFS(Cadenas_vs_FCST!$D$17:$D$652,Cadenas_vs_FCST!$A$17:$A$652,A93)</f>
        <v>4284.9</v>
      </c>
      <c r="T93" s="23" t="n">
        <f aca="false">SUMIFS(Cadenas_vs_FCST!$E$17:$E$652,Cadenas_vs_FCST!$A$17:$A$652,A93)</f>
        <v>5969.723619927</v>
      </c>
      <c r="U93" s="24" t="n">
        <f aca="false">IF(T93&gt;0,S93/T93-1,"")</f>
        <v>-0.282228077410994</v>
      </c>
      <c r="V93" s="3" t="str">
        <f aca="false">IF(OR(E93="BAJO SS",E93="BAJO SS (XLIB CUBRE)"),"SÍ","")</f>
        <v/>
      </c>
      <c r="W93" s="3" t="str">
        <f aca="false">IF(AND(V93="",N(L93)&gt;=Parametros!$B$17,G93&gt;=H93,R93&lt;H93),"SÍ","")</f>
        <v/>
      </c>
      <c r="X93" s="3" t="str">
        <f aca="false">IF(OR(E93="SOBRE MAX VENDIBLE",N(N93)&gt;=Parametros!$B$17,N(M93)&gt;=Parametros!$B$17),"SÍ","")</f>
        <v/>
      </c>
      <c r="Y93" s="3" t="str">
        <f aca="false">IF(AND(ISNUMBER(U93),MAX(S93,T93)&gt;=Parametros!$B$15,ABS(N(U93))&gt;Parametros!$B$14),"SÍ","")</f>
        <v>SÍ</v>
      </c>
      <c r="Z93" s="3" t="n">
        <f aca="false">COUNTIF(V93:Y93,"SÍ")</f>
        <v>1</v>
      </c>
      <c r="AA93" s="3" t="n">
        <f aca="false">(3*(V93="SÍ")+2*(W93="SÍ")+2*(X93="SÍ")+(Y93="SÍ"))*IF(LEFT(D93,1)="A",3,IF(OR(LEFT(D93,1)="B",D93="SIN HIST"),2,1))</f>
        <v>1</v>
      </c>
      <c r="AB93" s="3" t="str">
        <f aca="false">IF(AA93&gt;=9,"1-ALTA",IF(AA93&gt;=4,"2-MEDIA",IF(AA93&gt;0,"3-BAJA","")))</f>
        <v>3-BAJA</v>
      </c>
      <c r="AC93" s="3" t="str">
        <f aca="false">IF(E93="BAJO SS","Stock + XLIB bajo el SS: riesgo real de quiebre, adelantar producción. ","")&amp;IF(E93="BAJO SS (XLIB CUBRE)","Disponible bajo el SS; depende de liberar "&amp;TEXT(J93,"#,##0")&amp;" kg"&amp;IF(ISNUMBER(K93)," el "&amp;TEXT(K93,"dd-mm"),"")&amp;". ","")&amp;IF(W93="SÍ","Stock parece sano pero "&amp;TEXT(L93,"#,##0")&amp;" kg no pasan filtro "&amp;Stock_Seguridad!O93&amp;": sin ellos queda bajo el SS para esa cadena. ","")&amp;IF(E93="SOBRE MAX VENDIBLE","Sobrestock vs vida útil: frenar producción/activar venta. ","")&amp;IF(N(N93)&gt;=Parametros!$B$17,TEXT(N93,"#,##0")&amp;" kg ya no los acepta ninguna cadena: venta intermedia/liquidación. ","")&amp;IF(N(M93)&gt;=Parametros!$B$17,TEXT(M93,"#,##0")&amp;" kg a punto de salir del filtro: despachar primero (FEFO). ","")&amp;IF(Y93="SÍ","Pedidos "&amp;IF(N(U93)&gt;0,"sobre","bajo")&amp;" FCST "&amp;TEXT(ABS(N(U93)),"0%")&amp;": revisar forecast con KAM.","")</f>
        <v>Pedidos bajo FCST 28%: revisar forecast con KAM.</v>
      </c>
    </row>
    <row r="94" customFormat="false" ht="15" hidden="false" customHeight="false" outlineLevel="0" collapsed="false">
      <c r="A94" s="18" t="n">
        <f aca="false">Stock_Seguridad!A94</f>
        <v>30001149</v>
      </c>
      <c r="B94" s="18" t="str">
        <f aca="false">Stock_Seguridad!B94</f>
        <v>LECHE EVAPORADA S/LAC LONCO 30X200ML</v>
      </c>
      <c r="C94" s="18" t="str">
        <f aca="false">Stock_Seguridad!C94</f>
        <v>LECHE EVAPORADA</v>
      </c>
      <c r="D94" s="18" t="str">
        <f aca="false">Stock_Seguridad!F94</f>
        <v>CX</v>
      </c>
      <c r="E94" s="19" t="str">
        <f aca="false">Stock_Seguridad!X94</f>
        <v>OK</v>
      </c>
      <c r="F94" s="20" t="n">
        <f aca="false">Stock_Seguridad!W94</f>
        <v>1.52952565343659</v>
      </c>
      <c r="G94" s="21" t="n">
        <f aca="false">Stock_Seguridad!T94</f>
        <v>2370</v>
      </c>
      <c r="H94" s="21" t="n">
        <f aca="false">Stock_Seguridad!R94</f>
        <v>686.370613822838</v>
      </c>
      <c r="I94" s="21" t="n">
        <f aca="false">Stock_Seguridad!S94</f>
        <v>2235.87061382284</v>
      </c>
      <c r="J94" s="21" t="n">
        <f aca="false">Stock_Seguridad!U94</f>
        <v>0</v>
      </c>
      <c r="K94" s="22"/>
      <c r="L94" s="23" t="n">
        <v>2370</v>
      </c>
      <c r="M94" s="23" t="n">
        <v>0</v>
      </c>
      <c r="N94" s="23" t="n">
        <v>0</v>
      </c>
      <c r="O94" s="24" t="n">
        <v>0.23</v>
      </c>
      <c r="P94" s="24" t="n">
        <f aca="false">IF(ISNUMBER(Stock_Seguridad!N94),Stock_Seguridad!N94,"")</f>
        <v>0.211640211640212</v>
      </c>
      <c r="Q94" s="24" t="n">
        <f aca="false">IF(AND(ISNUMBER(O94),ISNUMBER(P94)),P94-O94,"")</f>
        <v>-0.0183597883597884</v>
      </c>
      <c r="R94" s="23" t="n">
        <f aca="false">MAX(0,G94-N(L94))</f>
        <v>0</v>
      </c>
      <c r="S94" s="23" t="n">
        <f aca="false">SUMIFS(Cadenas_vs_FCST!$D$17:$D$652,Cadenas_vs_FCST!$A$17:$A$652,A94)</f>
        <v>6300</v>
      </c>
      <c r="T94" s="23" t="n">
        <f aca="false">SUMIFS(Cadenas_vs_FCST!$E$17:$E$652,Cadenas_vs_FCST!$A$17:$A$652,A94)</f>
        <v>6785.52604682713</v>
      </c>
      <c r="U94" s="24" t="n">
        <f aca="false">IF(T94&gt;0,S94/T94-1,"")</f>
        <v>-0.0715531918198382</v>
      </c>
      <c r="V94" s="3" t="str">
        <f aca="false">IF(OR(E94="BAJO SS",E94="BAJO SS (XLIB CUBRE)"),"SÍ","")</f>
        <v/>
      </c>
      <c r="W94" s="3" t="str">
        <f aca="false">IF(AND(V94="",N(L94)&gt;=Parametros!$B$17,G94&gt;=H94,R94&lt;H94),"SÍ","")</f>
        <v>SÍ</v>
      </c>
      <c r="X94" s="3" t="str">
        <f aca="false">IF(OR(E94="SOBRE MAX VENDIBLE",N(N94)&gt;=Parametros!$B$17,N(M94)&gt;=Parametros!$B$17),"SÍ","")</f>
        <v/>
      </c>
      <c r="Y94" s="3" t="str">
        <f aca="false">IF(AND(ISNUMBER(U94),MAX(S94,T94)&gt;=Parametros!$B$15,ABS(N(U94))&gt;Parametros!$B$14),"SÍ","")</f>
        <v/>
      </c>
      <c r="Z94" s="3" t="n">
        <f aca="false">COUNTIF(V94:Y94,"SÍ")</f>
        <v>1</v>
      </c>
      <c r="AA94" s="3" t="n">
        <f aca="false">(3*(V94="SÍ")+2*(W94="SÍ")+2*(X94="SÍ")+(Y94="SÍ"))*IF(LEFT(D94,1)="A",3,IF(OR(LEFT(D94,1)="B",D94="SIN HIST"),2,1))</f>
        <v>2</v>
      </c>
      <c r="AB94" s="3" t="str">
        <f aca="false">IF(AA94&gt;=9,"1-ALTA",IF(AA94&gt;=4,"2-MEDIA",IF(AA94&gt;0,"3-BAJA","")))</f>
        <v>3-BAJA</v>
      </c>
      <c r="AC94" s="3" t="str">
        <f aca="false">IF(E94="BAJO SS","Stock + XLIB bajo el SS: riesgo real de quiebre, adelantar producción. ","")&amp;IF(E94="BAJO SS (XLIB CUBRE)","Disponible bajo el SS; depende de liberar "&amp;TEXT(J94,"#,##0")&amp;" kg"&amp;IF(ISNUMBER(K94)," el "&amp;TEXT(K94,"dd-mm"),"")&amp;". ","")&amp;IF(W94="SÍ","Stock parece sano pero "&amp;TEXT(L94,"#,##0")&amp;" kg no pasan filtro "&amp;Stock_Seguridad!O94&amp;": sin ellos queda bajo el SS para esa cadena. ","")&amp;IF(E94="SOBRE MAX VENDIBLE","Sobrestock vs vida útil: frenar producción/activar venta. ","")&amp;IF(N(N94)&gt;=Parametros!$B$17,TEXT(N94,"#,##0")&amp;" kg ya no los acepta ninguna cadena: venta intermedia/liquidación. ","")&amp;IF(N(M94)&gt;=Parametros!$B$17,TEXT(M94,"#,##0")&amp;" kg a punto de salir del filtro: despachar primero (FEFO). ","")&amp;IF(Y94="SÍ","Pedidos "&amp;IF(N(U94)&gt;0,"sobre","bajo")&amp;" FCST "&amp;TEXT(ABS(N(U94)),"0%")&amp;": revisar forecast con KAM.","")</f>
        <v>Stock parece sano pero 2,370 kg no pasan filtro CENCOSUD CENTRAL: sin ellos queda bajo el SS para esa cadena. </v>
      </c>
    </row>
    <row r="95" customFormat="false" ht="15" hidden="false" customHeight="false" outlineLevel="0" collapsed="false">
      <c r="A95" s="18" t="n">
        <f aca="false">Stock_Seguridad!A95</f>
        <v>30002076</v>
      </c>
      <c r="B95" s="18" t="str">
        <f aca="false">Stock_Seguridad!B95</f>
        <v>LECHE DESC LIGHT CHOC LONCOLECHE 12X1LT</v>
      </c>
      <c r="C95" s="18" t="str">
        <f aca="false">Stock_Seguridad!C95</f>
        <v>LECHES LIQUIDAS</v>
      </c>
      <c r="D95" s="18" t="str">
        <f aca="false">Stock_Seguridad!F95</f>
        <v>CZ</v>
      </c>
      <c r="E95" s="19" t="str">
        <f aca="false">Stock_Seguridad!X95</f>
        <v>OK</v>
      </c>
      <c r="F95" s="20" t="n">
        <f aca="false">Stock_Seguridad!W95</f>
        <v>5.0760493504798</v>
      </c>
      <c r="G95" s="21" t="n">
        <f aca="false">Stock_Seguridad!T95</f>
        <v>7776</v>
      </c>
      <c r="H95" s="21" t="n">
        <f aca="false">Stock_Seguridad!R95</f>
        <v>3077.72898766324</v>
      </c>
      <c r="I95" s="21" t="n">
        <f aca="false">Stock_Seguridad!S95</f>
        <v>4609.62898766324</v>
      </c>
      <c r="J95" s="21" t="n">
        <f aca="false">Stock_Seguridad!U95</f>
        <v>0</v>
      </c>
      <c r="K95" s="22"/>
      <c r="L95" s="23" t="n">
        <v>264</v>
      </c>
      <c r="M95" s="23" t="n">
        <v>0</v>
      </c>
      <c r="N95" s="23" t="n">
        <v>24</v>
      </c>
      <c r="O95" s="24" t="n">
        <v>0.0807716049382716</v>
      </c>
      <c r="P95" s="24" t="n">
        <f aca="false">IF(ISNUMBER(Stock_Seguridad!N95),Stock_Seguridad!N95,"")</f>
        <v>0.239130434782609</v>
      </c>
      <c r="Q95" s="24" t="n">
        <f aca="false">IF(AND(ISNUMBER(O95),ISNUMBER(P95)),P95-O95,"")</f>
        <v>0.158358829844337</v>
      </c>
      <c r="R95" s="23" t="n">
        <f aca="false">MAX(0,G95-N(L95))</f>
        <v>7512</v>
      </c>
      <c r="S95" s="23" t="n">
        <f aca="false">SUMIFS(Cadenas_vs_FCST!$D$17:$D$652,Cadenas_vs_FCST!$A$17:$A$652,A95)</f>
        <v>6552</v>
      </c>
      <c r="T95" s="23" t="n">
        <f aca="false">SUMIFS(Cadenas_vs_FCST!$E$17:$E$652,Cadenas_vs_FCST!$A$17:$A$652,A95)</f>
        <v>5375.88731644978</v>
      </c>
      <c r="U95" s="24" t="n">
        <f aca="false">IF(T95&gt;0,S95/T95-1,"")</f>
        <v>0.218775546122667</v>
      </c>
      <c r="V95" s="3" t="str">
        <f aca="false">IF(OR(E95="BAJO SS",E95="BAJO SS (XLIB CUBRE)"),"SÍ","")</f>
        <v/>
      </c>
      <c r="W95" s="3" t="str">
        <f aca="false">IF(AND(V95="",N(L95)&gt;=Parametros!$B$17,G95&gt;=H95,R95&lt;H95),"SÍ","")</f>
        <v/>
      </c>
      <c r="X95" s="3" t="str">
        <f aca="false">IF(OR(E95="SOBRE MAX VENDIBLE",N(N95)&gt;=Parametros!$B$17,N(M95)&gt;=Parametros!$B$17),"SÍ","")</f>
        <v/>
      </c>
      <c r="Y95" s="3" t="str">
        <f aca="false">IF(AND(ISNUMBER(U95),MAX(S95,T95)&gt;=Parametros!$B$15,ABS(N(U95))&gt;Parametros!$B$14),"SÍ","")</f>
        <v>SÍ</v>
      </c>
      <c r="Z95" s="3" t="n">
        <f aca="false">COUNTIF(V95:Y95,"SÍ")</f>
        <v>1</v>
      </c>
      <c r="AA95" s="3" t="n">
        <f aca="false">(3*(V95="SÍ")+2*(W95="SÍ")+2*(X95="SÍ")+(Y95="SÍ"))*IF(LEFT(D95,1)="A",3,IF(OR(LEFT(D95,1)="B",D95="SIN HIST"),2,1))</f>
        <v>1</v>
      </c>
      <c r="AB95" s="3" t="str">
        <f aca="false">IF(AA95&gt;=9,"1-ALTA",IF(AA95&gt;=4,"2-MEDIA",IF(AA95&gt;0,"3-BAJA","")))</f>
        <v>3-BAJA</v>
      </c>
      <c r="AC95" s="3" t="str">
        <f aca="false">IF(E95="BAJO SS","Stock + XLIB bajo el SS: riesgo real de quiebre, adelantar producción. ","")&amp;IF(E95="BAJO SS (XLIB CUBRE)","Disponible bajo el SS; depende de liberar "&amp;TEXT(J95,"#,##0")&amp;" kg"&amp;IF(ISNUMBER(K95)," el "&amp;TEXT(K95,"dd-mm"),"")&amp;". ","")&amp;IF(W95="SÍ","Stock parece sano pero "&amp;TEXT(L95,"#,##0")&amp;" kg no pasan filtro "&amp;Stock_Seguridad!O95&amp;": sin ellos queda bajo el SS para esa cadena. ","")&amp;IF(E95="SOBRE MAX VENDIBLE","Sobrestock vs vida útil: frenar producción/activar venta. ","")&amp;IF(N(N95)&gt;=Parametros!$B$17,TEXT(N95,"#,##0")&amp;" kg ya no los acepta ninguna cadena: venta intermedia/liquidación. ","")&amp;IF(N(M95)&gt;=Parametros!$B$17,TEXT(M95,"#,##0")&amp;" kg a punto de salir del filtro: despachar primero (FEFO). ","")&amp;IF(Y95="SÍ","Pedidos "&amp;IF(N(U95)&gt;0,"sobre","bajo")&amp;" FCST "&amp;TEXT(ABS(N(U95)),"0%")&amp;": revisar forecast con KAM.","")</f>
        <v>Pedidos sobre FCST 22%: revisar forecast con KAM.</v>
      </c>
    </row>
    <row r="96" customFormat="false" ht="15" hidden="false" customHeight="false" outlineLevel="0" collapsed="false">
      <c r="A96" s="18" t="n">
        <f aca="false">Stock_Seguridad!A96</f>
        <v>30000308</v>
      </c>
      <c r="B96" s="18" t="str">
        <f aca="false">Stock_Seguridad!B96</f>
        <v>YOGU YOGU VAINILLA 30X200GR</v>
      </c>
      <c r="C96" s="18" t="str">
        <f aca="false">Stock_Seguridad!C96</f>
        <v>LECHES LIQUIDAS</v>
      </c>
      <c r="D96" s="18" t="str">
        <f aca="false">Stock_Seguridad!F96</f>
        <v>CX</v>
      </c>
      <c r="E96" s="19" t="str">
        <f aca="false">Stock_Seguridad!X96</f>
        <v>OK</v>
      </c>
      <c r="F96" s="20" t="n">
        <f aca="false">Stock_Seguridad!W96</f>
        <v>4.35487280670848</v>
      </c>
      <c r="G96" s="21" t="n">
        <f aca="false">Stock_Seguridad!T96</f>
        <v>6180</v>
      </c>
      <c r="H96" s="21" t="n">
        <f aca="false">Stock_Seguridad!R96</f>
        <v>1033.24753268625</v>
      </c>
      <c r="I96" s="21" t="n">
        <f aca="false">Stock_Seguridad!S96</f>
        <v>2452.34753268625</v>
      </c>
      <c r="J96" s="21" t="n">
        <f aca="false">Stock_Seguridad!U96</f>
        <v>0</v>
      </c>
      <c r="K96" s="22"/>
      <c r="L96" s="23" t="n">
        <v>0</v>
      </c>
      <c r="M96" s="23" t="n">
        <v>912</v>
      </c>
      <c r="N96" s="23" t="n">
        <v>0</v>
      </c>
      <c r="O96" s="24" t="n">
        <v>0.124885745375408</v>
      </c>
      <c r="P96" s="24" t="n">
        <f aca="false">IF(ISNUMBER(Stock_Seguridad!N96),Stock_Seguridad!N96,"")</f>
        <v>0.240816326530612</v>
      </c>
      <c r="Q96" s="24" t="n">
        <f aca="false">IF(AND(ISNUMBER(O96),ISNUMBER(P96)),P96-O96,"")</f>
        <v>0.115930581155204</v>
      </c>
      <c r="R96" s="23" t="n">
        <f aca="false">MAX(0,G96-N(L96))</f>
        <v>6180</v>
      </c>
      <c r="S96" s="23" t="n">
        <f aca="false">SUMIFS(Cadenas_vs_FCST!$D$17:$D$652,Cadenas_vs_FCST!$A$17:$A$652,A96)</f>
        <v>8178</v>
      </c>
      <c r="T96" s="23" t="n">
        <f aca="false">SUMIFS(Cadenas_vs_FCST!$E$17:$E$652,Cadenas_vs_FCST!$A$17:$A$652,A96)</f>
        <v>7643.28641141156</v>
      </c>
      <c r="U96" s="24" t="n">
        <f aca="false">IF(T96&gt;0,S96/T96-1,"")</f>
        <v>0.0699585963166456</v>
      </c>
      <c r="V96" s="3" t="str">
        <f aca="false">IF(OR(E96="BAJO SS",E96="BAJO SS (XLIB CUBRE)"),"SÍ","")</f>
        <v/>
      </c>
      <c r="W96" s="3" t="str">
        <f aca="false">IF(AND(V96="",N(L96)&gt;=Parametros!$B$17,G96&gt;=H96,R96&lt;H96),"SÍ","")</f>
        <v/>
      </c>
      <c r="X96" s="3" t="str">
        <f aca="false">IF(OR(E96="SOBRE MAX VENDIBLE",N(N96)&gt;=Parametros!$B$17,N(M96)&gt;=Parametros!$B$17),"SÍ","")</f>
        <v>SÍ</v>
      </c>
      <c r="Y96" s="3" t="str">
        <f aca="false">IF(AND(ISNUMBER(U96),MAX(S96,T96)&gt;=Parametros!$B$15,ABS(N(U96))&gt;Parametros!$B$14),"SÍ","")</f>
        <v/>
      </c>
      <c r="Z96" s="3" t="n">
        <f aca="false">COUNTIF(V96:Y96,"SÍ")</f>
        <v>1</v>
      </c>
      <c r="AA96" s="3" t="n">
        <f aca="false">(3*(V96="SÍ")+2*(W96="SÍ")+2*(X96="SÍ")+(Y96="SÍ"))*IF(LEFT(D96,1)="A",3,IF(OR(LEFT(D96,1)="B",D96="SIN HIST"),2,1))</f>
        <v>2</v>
      </c>
      <c r="AB96" s="3" t="str">
        <f aca="false">IF(AA96&gt;=9,"1-ALTA",IF(AA96&gt;=4,"2-MEDIA",IF(AA96&gt;0,"3-BAJA","")))</f>
        <v>3-BAJA</v>
      </c>
      <c r="AC96" s="3" t="str">
        <f aca="false">IF(E96="BAJO SS","Stock + XLIB bajo el SS: riesgo real de quiebre, adelantar producción. ","")&amp;IF(E96="BAJO SS (XLIB CUBRE)","Disponible bajo el SS; depende de liberar "&amp;TEXT(J96,"#,##0")&amp;" kg"&amp;IF(ISNUMBER(K96)," el "&amp;TEXT(K96,"dd-mm"),"")&amp;". ","")&amp;IF(W96="SÍ","Stock parece sano pero "&amp;TEXT(L96,"#,##0")&amp;" kg no pasan filtro "&amp;Stock_Seguridad!O96&amp;": sin ellos queda bajo el SS para esa cadena. ","")&amp;IF(E96="SOBRE MAX VENDIBLE","Sobrestock vs vida útil: frenar producción/activar venta. ","")&amp;IF(N(N96)&gt;=Parametros!$B$17,TEXT(N96,"#,##0")&amp;" kg ya no los acepta ninguna cadena: venta intermedia/liquidación. ","")&amp;IF(N(M96)&gt;=Parametros!$B$17,TEXT(M96,"#,##0")&amp;" kg a punto de salir del filtro: despachar primero (FEFO). ","")&amp;IF(Y96="SÍ","Pedidos "&amp;IF(N(U96)&gt;0,"sobre","bajo")&amp;" FCST "&amp;TEXT(ABS(N(U96)),"0%")&amp;": revisar forecast con KAM.","")</f>
        <v>912 kg a punto de salir del filtro: despachar primero (FEFO). </v>
      </c>
    </row>
    <row r="97" customFormat="false" ht="15" hidden="false" customHeight="false" outlineLevel="0" collapsed="false">
      <c r="A97" s="18" t="n">
        <f aca="false">Stock_Seguridad!A97</f>
        <v>30001716</v>
      </c>
      <c r="B97" s="18" t="str">
        <f aca="false">Stock_Seguridad!B97</f>
        <v>CREMA LISTA LONCO 18X250ML</v>
      </c>
      <c r="C97" s="18" t="str">
        <f aca="false">Stock_Seguridad!C97</f>
        <v>CREMA</v>
      </c>
      <c r="D97" s="18" t="str">
        <f aca="false">Stock_Seguridad!F97</f>
        <v>CY</v>
      </c>
      <c r="E97" s="19" t="str">
        <f aca="false">Stock_Seguridad!X97</f>
        <v>SOBRE MAX VENDIBLE</v>
      </c>
      <c r="F97" s="20" t="n">
        <f aca="false">Stock_Seguridad!W97</f>
        <v>12.5876873817494</v>
      </c>
      <c r="G97" s="21" t="n">
        <f aca="false">Stock_Seguridad!T97</f>
        <v>7078.5</v>
      </c>
      <c r="H97" s="21" t="n">
        <f aca="false">Stock_Seguridad!R97</f>
        <v>963.258133272181</v>
      </c>
      <c r="I97" s="21" t="n">
        <f aca="false">Stock_Seguridad!S97</f>
        <v>2337.45813327218</v>
      </c>
      <c r="J97" s="21" t="n">
        <f aca="false">Stock_Seguridad!U97</f>
        <v>10219.5</v>
      </c>
      <c r="K97" s="22" t="n">
        <v>46321</v>
      </c>
      <c r="L97" s="23" t="n">
        <v>7078.5</v>
      </c>
      <c r="M97" s="23" t="n">
        <v>0</v>
      </c>
      <c r="N97" s="23" t="n">
        <v>675</v>
      </c>
      <c r="O97" s="24" t="n">
        <v>0.164323621227888</v>
      </c>
      <c r="P97" s="24" t="n">
        <f aca="false">IF(ISNUMBER(Stock_Seguridad!N97),Stock_Seguridad!N97,"")</f>
        <v>0.239130434782609</v>
      </c>
      <c r="Q97" s="24" t="n">
        <f aca="false">IF(AND(ISNUMBER(O97),ISNUMBER(P97)),P97-O97,"")</f>
        <v>0.074806813554721</v>
      </c>
      <c r="R97" s="23" t="n">
        <f aca="false">MAX(0,G97-N(L97))</f>
        <v>0</v>
      </c>
      <c r="S97" s="23" t="n">
        <f aca="false">SUMIFS(Cadenas_vs_FCST!$D$17:$D$652,Cadenas_vs_FCST!$A$17:$A$652,A97)</f>
        <v>1746</v>
      </c>
      <c r="T97" s="23" t="n">
        <f aca="false">SUMIFS(Cadenas_vs_FCST!$E$17:$E$652,Cadenas_vs_FCST!$A$17:$A$652,A97)</f>
        <v>3476.55208333333</v>
      </c>
      <c r="U97" s="24" t="n">
        <f aca="false">IF(T97&gt;0,S97/T97-1,"")</f>
        <v>-0.497778270496691</v>
      </c>
      <c r="V97" s="3" t="str">
        <f aca="false">IF(OR(E97="BAJO SS",E97="BAJO SS (XLIB CUBRE)"),"SÍ","")</f>
        <v/>
      </c>
      <c r="W97" s="3" t="str">
        <f aca="false">IF(AND(V97="",N(L97)&gt;=Parametros!$B$17,G97&gt;=H97,R97&lt;H97),"SÍ","")</f>
        <v>SÍ</v>
      </c>
      <c r="X97" s="3" t="str">
        <f aca="false">IF(OR(E97="SOBRE MAX VENDIBLE",N(N97)&gt;=Parametros!$B$17,N(M97)&gt;=Parametros!$B$17),"SÍ","")</f>
        <v>SÍ</v>
      </c>
      <c r="Y97" s="3" t="str">
        <f aca="false">IF(AND(ISNUMBER(U97),MAX(S97,T97)&gt;=Parametros!$B$15,ABS(N(U97))&gt;Parametros!$B$14),"SÍ","")</f>
        <v>SÍ</v>
      </c>
      <c r="Z97" s="3" t="n">
        <f aca="false">COUNTIF(V97:Y97,"SÍ")</f>
        <v>3</v>
      </c>
      <c r="AA97" s="3" t="n">
        <f aca="false">(3*(V97="SÍ")+2*(W97="SÍ")+2*(X97="SÍ")+(Y97="SÍ"))*IF(LEFT(D97,1)="A",3,IF(OR(LEFT(D97,1)="B",D97="SIN HIST"),2,1))</f>
        <v>5</v>
      </c>
      <c r="AB97" s="3" t="str">
        <f aca="false">IF(AA97&gt;=9,"1-ALTA",IF(AA97&gt;=4,"2-MEDIA",IF(AA97&gt;0,"3-BAJA","")))</f>
        <v>2-MEDIA</v>
      </c>
      <c r="AC97" s="3" t="str">
        <f aca="false">IF(E97="BAJO SS","Stock + XLIB bajo el SS: riesgo real de quiebre, adelantar producción. ","")&amp;IF(E97="BAJO SS (XLIB CUBRE)","Disponible bajo el SS; depende de liberar "&amp;TEXT(J97,"#,##0")&amp;" kg"&amp;IF(ISNUMBER(K97)," el "&amp;TEXT(K97,"dd-mm"),"")&amp;". ","")&amp;IF(W97="SÍ","Stock parece sano pero "&amp;TEXT(L97,"#,##0")&amp;" kg no pasan filtro "&amp;Stock_Seguridad!O97&amp;": sin ellos queda bajo el SS para esa cadena. ","")&amp;IF(E97="SOBRE MAX VENDIBLE","Sobrestock vs vida útil: frenar producción/activar venta. ","")&amp;IF(N(N97)&gt;=Parametros!$B$17,TEXT(N97,"#,##0")&amp;" kg ya no los acepta ninguna cadena: venta intermedia/liquidación. ","")&amp;IF(N(M97)&gt;=Parametros!$B$17,TEXT(M97,"#,##0")&amp;" kg a punto de salir del filtro: despachar primero (FEFO). ","")&amp;IF(Y97="SÍ","Pedidos "&amp;IF(N(U97)&gt;0,"sobre","bajo")&amp;" FCST "&amp;TEXT(ABS(N(U97)),"0%")&amp;": revisar forecast con KAM.","")</f>
        <v>Stock parece sano pero 7,079 kg no pasan filtro CENCOSUD CENTRAL: sin ellos queda bajo el SS para esa cadena. Sobrestock vs vida útil: frenar producción/activar venta. 675 kg ya no los acepta ninguna cadena: venta intermedia/liquidación. Pedidos bajo FCST 50%: revisar forecast con KAM.</v>
      </c>
    </row>
    <row r="98" customFormat="false" ht="15" hidden="false" customHeight="false" outlineLevel="0" collapsed="false">
      <c r="A98" s="18" t="n">
        <f aca="false">Stock_Seguridad!A98</f>
        <v>30000355</v>
      </c>
      <c r="B98" s="18" t="str">
        <f aca="false">Stock_Seguridad!B98</f>
        <v>LECHE LONCO DESC CHOC 5X6X200ML</v>
      </c>
      <c r="C98" s="18" t="str">
        <f aca="false">Stock_Seguridad!C98</f>
        <v>LECHES LIQUIDAS</v>
      </c>
      <c r="D98" s="18" t="str">
        <f aca="false">Stock_Seguridad!F98</f>
        <v>CX</v>
      </c>
      <c r="E98" s="19" t="str">
        <f aca="false">Stock_Seguridad!X98</f>
        <v>OK</v>
      </c>
      <c r="F98" s="20" t="n">
        <f aca="false">Stock_Seguridad!W98</f>
        <v>4.9984962406015</v>
      </c>
      <c r="G98" s="21" t="n">
        <f aca="false">Stock_Seguridad!T98</f>
        <v>6648</v>
      </c>
      <c r="H98" s="21" t="n">
        <f aca="false">Stock_Seguridad!R98</f>
        <v>1230.83984768483</v>
      </c>
      <c r="I98" s="21" t="n">
        <f aca="false">Stock_Seguridad!S98</f>
        <v>2560.83984768483</v>
      </c>
      <c r="J98" s="21" t="n">
        <f aca="false">Stock_Seguridad!U98</f>
        <v>0</v>
      </c>
      <c r="K98" s="22"/>
      <c r="L98" s="23" t="n">
        <v>6642</v>
      </c>
      <c r="M98" s="23" t="n">
        <v>0</v>
      </c>
      <c r="N98" s="23" t="n">
        <v>642</v>
      </c>
      <c r="O98" s="24" t="n">
        <v>0.31836495031617</v>
      </c>
      <c r="P98" s="24" t="n">
        <f aca="false">IF(ISNUMBER(Stock_Seguridad!N98),Stock_Seguridad!N98,"")</f>
        <v>0.239130434782609</v>
      </c>
      <c r="Q98" s="24" t="n">
        <f aca="false">IF(AND(ISNUMBER(O98),ISNUMBER(P98)),P98-O98,"")</f>
        <v>-0.0792345155335612</v>
      </c>
      <c r="R98" s="23" t="n">
        <f aca="false">MAX(0,G98-N(L98))</f>
        <v>6</v>
      </c>
      <c r="S98" s="23" t="n">
        <f aca="false">SUMIFS(Cadenas_vs_FCST!$D$17:$D$652,Cadenas_vs_FCST!$A$17:$A$652,A98)</f>
        <v>3720</v>
      </c>
      <c r="T98" s="23" t="n">
        <f aca="false">SUMIFS(Cadenas_vs_FCST!$E$17:$E$652,Cadenas_vs_FCST!$A$17:$A$652,A98)</f>
        <v>8223.1069582343</v>
      </c>
      <c r="U98" s="24" t="n">
        <f aca="false">IF(T98&gt;0,S98/T98-1,"")</f>
        <v>-0.547616245429602</v>
      </c>
      <c r="V98" s="3" t="str">
        <f aca="false">IF(OR(E98="BAJO SS",E98="BAJO SS (XLIB CUBRE)"),"SÍ","")</f>
        <v/>
      </c>
      <c r="W98" s="3" t="str">
        <f aca="false">IF(AND(V98="",N(L98)&gt;=Parametros!$B$17,G98&gt;=H98,R98&lt;H98),"SÍ","")</f>
        <v>SÍ</v>
      </c>
      <c r="X98" s="3" t="str">
        <f aca="false">IF(OR(E98="SOBRE MAX VENDIBLE",N(N98)&gt;=Parametros!$B$17,N(M98)&gt;=Parametros!$B$17),"SÍ","")</f>
        <v>SÍ</v>
      </c>
      <c r="Y98" s="3" t="str">
        <f aca="false">IF(AND(ISNUMBER(U98),MAX(S98,T98)&gt;=Parametros!$B$15,ABS(N(U98))&gt;Parametros!$B$14),"SÍ","")</f>
        <v>SÍ</v>
      </c>
      <c r="Z98" s="3" t="n">
        <f aca="false">COUNTIF(V98:Y98,"SÍ")</f>
        <v>3</v>
      </c>
      <c r="AA98" s="3" t="n">
        <f aca="false">(3*(V98="SÍ")+2*(W98="SÍ")+2*(X98="SÍ")+(Y98="SÍ"))*IF(LEFT(D98,1)="A",3,IF(OR(LEFT(D98,1)="B",D98="SIN HIST"),2,1))</f>
        <v>5</v>
      </c>
      <c r="AB98" s="3" t="str">
        <f aca="false">IF(AA98&gt;=9,"1-ALTA",IF(AA98&gt;=4,"2-MEDIA",IF(AA98&gt;0,"3-BAJA","")))</f>
        <v>2-MEDIA</v>
      </c>
      <c r="AC98" s="3" t="str">
        <f aca="false">IF(E98="BAJO SS","Stock + XLIB bajo el SS: riesgo real de quiebre, adelantar producción. ","")&amp;IF(E98="BAJO SS (XLIB CUBRE)","Disponible bajo el SS; depende de liberar "&amp;TEXT(J98,"#,##0")&amp;" kg"&amp;IF(ISNUMBER(K98)," el "&amp;TEXT(K98,"dd-mm"),"")&amp;". ","")&amp;IF(W98="SÍ","Stock parece sano pero "&amp;TEXT(L98,"#,##0")&amp;" kg no pasan filtro "&amp;Stock_Seguridad!O98&amp;": sin ellos queda bajo el SS para esa cadena. ","")&amp;IF(E98="SOBRE MAX VENDIBLE","Sobrestock vs vida útil: frenar producción/activar venta. ","")&amp;IF(N(N98)&gt;=Parametros!$B$17,TEXT(N98,"#,##0")&amp;" kg ya no los acepta ninguna cadena: venta intermedia/liquidación. ","")&amp;IF(N(M98)&gt;=Parametros!$B$17,TEXT(M98,"#,##0")&amp;" kg a punto de salir del filtro: despachar primero (FEFO). ","")&amp;IF(Y98="SÍ","Pedidos "&amp;IF(N(U98)&gt;0,"sobre","bajo")&amp;" FCST "&amp;TEXT(ABS(N(U98)),"0%")&amp;": revisar forecast con KAM.","")</f>
        <v>Stock parece sano pero 6,642 kg no pasan filtro CENCOSUD CENTRAL: sin ellos queda bajo el SS para esa cadena. 642 kg ya no los acepta ninguna cadena: venta intermedia/liquidación. Pedidos bajo FCST 55%: revisar forecast con KAM.</v>
      </c>
    </row>
    <row r="99" customFormat="false" ht="15" hidden="false" customHeight="false" outlineLevel="0" collapsed="false">
      <c r="A99" s="18" t="n">
        <f aca="false">Stock_Seguridad!A99</f>
        <v>30002291</v>
      </c>
      <c r="B99" s="18" t="str">
        <f aca="false">Stock_Seguridad!B99</f>
        <v>NECTAR WATTS PROTEINA TROPICAL 18X250ML</v>
      </c>
      <c r="C99" s="18" t="str">
        <f aca="false">Stock_Seguridad!C99</f>
        <v>JUGOS Y NECTARES</v>
      </c>
      <c r="D99" s="18" t="str">
        <f aca="false">Stock_Seguridad!F99</f>
        <v>CX</v>
      </c>
      <c r="E99" s="19" t="str">
        <f aca="false">Stock_Seguridad!X99</f>
        <v>OK</v>
      </c>
      <c r="F99" s="20" t="n">
        <f aca="false">Stock_Seguridad!W99</f>
        <v>5.11994754705338</v>
      </c>
      <c r="G99" s="21" t="n">
        <f aca="false">Stock_Seguridad!T99</f>
        <v>6637.5</v>
      </c>
      <c r="H99" s="21" t="n">
        <f aca="false">Stock_Seguridad!R99</f>
        <v>2058.3486517684</v>
      </c>
      <c r="I99" s="21" t="n">
        <f aca="false">Stock_Seguridad!S99</f>
        <v>3354.7486517684</v>
      </c>
      <c r="J99" s="21" t="n">
        <f aca="false">Stock_Seguridad!U99</f>
        <v>0</v>
      </c>
      <c r="K99" s="22"/>
      <c r="L99" s="23" t="n">
        <v>0</v>
      </c>
      <c r="M99" s="23" t="n">
        <v>0</v>
      </c>
      <c r="N99" s="23" t="n">
        <v>0</v>
      </c>
      <c r="O99" s="24" t="n">
        <v>0.120074576271186</v>
      </c>
      <c r="P99" s="24" t="str">
        <f aca="false">IF(ISNUMBER(Stock_Seguridad!N99),Stock_Seguridad!N99,"")</f>
        <v/>
      </c>
      <c r="Q99" s="24" t="str">
        <f aca="false">IF(AND(ISNUMBER(O99),ISNUMBER(P99)),P99-O99,"")</f>
        <v/>
      </c>
      <c r="R99" s="23" t="n">
        <f aca="false">MAX(0,G99-N(L99))</f>
        <v>6637.5</v>
      </c>
      <c r="S99" s="23" t="n">
        <f aca="false">SUMIFS(Cadenas_vs_FCST!$D$17:$D$652,Cadenas_vs_FCST!$A$17:$A$652,A99)</f>
        <v>9324</v>
      </c>
      <c r="T99" s="23" t="n">
        <f aca="false">SUMIFS(Cadenas_vs_FCST!$E$17:$E$652,Cadenas_vs_FCST!$A$17:$A$652,A99)</f>
        <v>6539.54021452411</v>
      </c>
      <c r="U99" s="24" t="n">
        <f aca="false">IF(T99&gt;0,S99/T99-1,"")</f>
        <v>0.425788311430779</v>
      </c>
      <c r="V99" s="3" t="str">
        <f aca="false">IF(OR(E99="BAJO SS",E99="BAJO SS (XLIB CUBRE)"),"SÍ","")</f>
        <v/>
      </c>
      <c r="W99" s="3" t="str">
        <f aca="false">IF(AND(V99="",N(L99)&gt;=Parametros!$B$17,G99&gt;=H99,R99&lt;H99),"SÍ","")</f>
        <v/>
      </c>
      <c r="X99" s="3" t="str">
        <f aca="false">IF(OR(E99="SOBRE MAX VENDIBLE",N(N99)&gt;=Parametros!$B$17,N(M99)&gt;=Parametros!$B$17),"SÍ","")</f>
        <v/>
      </c>
      <c r="Y99" s="3" t="str">
        <f aca="false">IF(AND(ISNUMBER(U99),MAX(S99,T99)&gt;=Parametros!$B$15,ABS(N(U99))&gt;Parametros!$B$14),"SÍ","")</f>
        <v>SÍ</v>
      </c>
      <c r="Z99" s="3" t="n">
        <f aca="false">COUNTIF(V99:Y99,"SÍ")</f>
        <v>1</v>
      </c>
      <c r="AA99" s="3" t="n">
        <f aca="false">(3*(V99="SÍ")+2*(W99="SÍ")+2*(X99="SÍ")+(Y99="SÍ"))*IF(LEFT(D99,1)="A",3,IF(OR(LEFT(D99,1)="B",D99="SIN HIST"),2,1))</f>
        <v>1</v>
      </c>
      <c r="AB99" s="3" t="str">
        <f aca="false">IF(AA99&gt;=9,"1-ALTA",IF(AA99&gt;=4,"2-MEDIA",IF(AA99&gt;0,"3-BAJA","")))</f>
        <v>3-BAJA</v>
      </c>
      <c r="AC99" s="3" t="str">
        <f aca="false">IF(E99="BAJO SS","Stock + XLIB bajo el SS: riesgo real de quiebre, adelantar producción. ","")&amp;IF(E99="BAJO SS (XLIB CUBRE)","Disponible bajo el SS; depende de liberar "&amp;TEXT(J99,"#,##0")&amp;" kg"&amp;IF(ISNUMBER(K99)," el "&amp;TEXT(K99,"dd-mm"),"")&amp;". ","")&amp;IF(W99="SÍ","Stock parece sano pero "&amp;TEXT(L99,"#,##0")&amp;" kg no pasan filtro "&amp;Stock_Seguridad!O99&amp;": sin ellos queda bajo el SS para esa cadena. ","")&amp;IF(E99="SOBRE MAX VENDIBLE","Sobrestock vs vida útil: frenar producción/activar venta. ","")&amp;IF(N(N99)&gt;=Parametros!$B$17,TEXT(N99,"#,##0")&amp;" kg ya no los acepta ninguna cadena: venta intermedia/liquidación. ","")&amp;IF(N(M99)&gt;=Parametros!$B$17,TEXT(M99,"#,##0")&amp;" kg a punto de salir del filtro: despachar primero (FEFO). ","")&amp;IF(Y99="SÍ","Pedidos "&amp;IF(N(U99)&gt;0,"sobre","bajo")&amp;" FCST "&amp;TEXT(ABS(N(U99)),"0%")&amp;": revisar forecast con KAM.","")</f>
        <v>Pedidos sobre FCST 43%: revisar forecast con KAM.</v>
      </c>
    </row>
    <row r="100" customFormat="false" ht="15" hidden="false" customHeight="false" outlineLevel="0" collapsed="false">
      <c r="A100" s="18" t="n">
        <f aca="false">Stock_Seguridad!A100</f>
        <v>30001407</v>
      </c>
      <c r="B100" s="18" t="str">
        <f aca="false">Stock_Seguridad!B100</f>
        <v>LECHE BREAK CHOCO AVELLANA LONCO18X250ML</v>
      </c>
      <c r="C100" s="18" t="str">
        <f aca="false">Stock_Seguridad!C100</f>
        <v>LECHES LIQUIDAS</v>
      </c>
      <c r="D100" s="18" t="str">
        <f aca="false">Stock_Seguridad!F100</f>
        <v>CX</v>
      </c>
      <c r="E100" s="19" t="str">
        <f aca="false">Stock_Seguridad!X100</f>
        <v>OK</v>
      </c>
      <c r="F100" s="20" t="n">
        <f aca="false">Stock_Seguridad!W100</f>
        <v>7.91252405388069</v>
      </c>
      <c r="G100" s="21" t="n">
        <f aca="false">Stock_Seguridad!T100</f>
        <v>9868.5</v>
      </c>
      <c r="H100" s="21" t="n">
        <f aca="false">Stock_Seguridad!R100</f>
        <v>458.083007717216</v>
      </c>
      <c r="I100" s="21" t="n">
        <f aca="false">Stock_Seguridad!S100</f>
        <v>1705.28300771722</v>
      </c>
      <c r="J100" s="21" t="n">
        <f aca="false">Stock_Seguridad!U100</f>
        <v>0</v>
      </c>
      <c r="K100" s="22"/>
      <c r="L100" s="23" t="n">
        <v>1327.5</v>
      </c>
      <c r="M100" s="23" t="n">
        <v>0</v>
      </c>
      <c r="N100" s="23" t="n">
        <v>0</v>
      </c>
      <c r="O100" s="24" t="n">
        <v>0.12310502283105</v>
      </c>
      <c r="P100" s="24" t="n">
        <f aca="false">IF(ISNUMBER(Stock_Seguridad!N100),Stock_Seguridad!N100,"")</f>
        <v>0.332</v>
      </c>
      <c r="Q100" s="24" t="n">
        <f aca="false">IF(AND(ISNUMBER(O100),ISNUMBER(P100)),P100-O100,"")</f>
        <v>0.20889497716895</v>
      </c>
      <c r="R100" s="23" t="n">
        <f aca="false">MAX(0,G100-N(L100))</f>
        <v>8541</v>
      </c>
      <c r="S100" s="23" t="n">
        <f aca="false">SUMIFS(Cadenas_vs_FCST!$D$17:$D$652,Cadenas_vs_FCST!$A$17:$A$652,A100)</f>
        <v>6304.5</v>
      </c>
      <c r="T100" s="23" t="n">
        <f aca="false">SUMIFS(Cadenas_vs_FCST!$E$17:$E$652,Cadenas_vs_FCST!$A$17:$A$652,A100)</f>
        <v>6325.91190052674</v>
      </c>
      <c r="U100" s="24" t="n">
        <f aca="false">IF(T100&gt;0,S100/T100-1,"")</f>
        <v>-0.00338479271659764</v>
      </c>
      <c r="V100" s="3" t="str">
        <f aca="false">IF(OR(E100="BAJO SS",E100="BAJO SS (XLIB CUBRE)"),"SÍ","")</f>
        <v/>
      </c>
      <c r="W100" s="3" t="str">
        <f aca="false">IF(AND(V100="",N(L100)&gt;=Parametros!$B$17,G100&gt;=H100,R100&lt;H100),"SÍ","")</f>
        <v/>
      </c>
      <c r="X100" s="3" t="str">
        <f aca="false">IF(OR(E100="SOBRE MAX VENDIBLE",N(N100)&gt;=Parametros!$B$17,N(M100)&gt;=Parametros!$B$17),"SÍ","")</f>
        <v/>
      </c>
      <c r="Y100" s="3" t="str">
        <f aca="false">IF(AND(ISNUMBER(U100),MAX(S100,T100)&gt;=Parametros!$B$15,ABS(N(U100))&gt;Parametros!$B$14),"SÍ","")</f>
        <v/>
      </c>
      <c r="Z100" s="3" t="n">
        <f aca="false">COUNTIF(V100:Y100,"SÍ")</f>
        <v>0</v>
      </c>
      <c r="AA100" s="3" t="n">
        <f aca="false">(3*(V100="SÍ")+2*(W100="SÍ")+2*(X100="SÍ")+(Y100="SÍ"))*IF(LEFT(D100,1)="A",3,IF(OR(LEFT(D100,1)="B",D100="SIN HIST"),2,1))</f>
        <v>0</v>
      </c>
      <c r="AB100" s="3" t="str">
        <f aca="false">IF(AA100&gt;=9,"1-ALTA",IF(AA100&gt;=4,"2-MEDIA",IF(AA100&gt;0,"3-BAJA","")))</f>
        <v/>
      </c>
      <c r="AC100" s="3" t="str">
        <f aca="false">IF(E100="BAJO SS","Stock + XLIB bajo el SS: riesgo real de quiebre, adelantar producción. ","")&amp;IF(E100="BAJO SS (XLIB CUBRE)","Disponible bajo el SS; depende de liberar "&amp;TEXT(J100,"#,##0")&amp;" kg"&amp;IF(ISNUMBER(K100)," el "&amp;TEXT(K100,"dd-mm"),"")&amp;". ","")&amp;IF(W100="SÍ","Stock parece sano pero "&amp;TEXT(L100,"#,##0")&amp;" kg no pasan filtro "&amp;Stock_Seguridad!O100&amp;": sin ellos queda bajo el SS para esa cadena. ","")&amp;IF(E100="SOBRE MAX VENDIBLE","Sobrestock vs vida útil: frenar producción/activar venta. ","")&amp;IF(N(N100)&gt;=Parametros!$B$17,TEXT(N100,"#,##0")&amp;" kg ya no los acepta ninguna cadena: venta intermedia/liquidación. ","")&amp;IF(N(M100)&gt;=Parametros!$B$17,TEXT(M100,"#,##0")&amp;" kg a punto de salir del filtro: despachar primero (FEFO). ","")&amp;IF(Y100="SÍ","Pedidos "&amp;IF(N(U100)&gt;0,"sobre","bajo")&amp;" FCST "&amp;TEXT(ABS(N(U100)),"0%")&amp;": revisar forecast con KAM.","")</f>
        <v/>
      </c>
    </row>
    <row r="101" customFormat="false" ht="15" hidden="false" customHeight="false" outlineLevel="0" collapsed="false">
      <c r="A101" s="18" t="n">
        <f aca="false">Stock_Seguridad!A101</f>
        <v>30002217</v>
      </c>
      <c r="B101" s="18" t="str">
        <f aca="false">Stock_Seguridad!B101</f>
        <v>LECHE PLATANO LONCOLECHE 30X115ML</v>
      </c>
      <c r="C101" s="18" t="str">
        <f aca="false">Stock_Seguridad!C101</f>
        <v>LECHES LIQUIDAS</v>
      </c>
      <c r="D101" s="18" t="str">
        <f aca="false">Stock_Seguridad!F101</f>
        <v>CZ</v>
      </c>
      <c r="E101" s="19" t="str">
        <f aca="false">Stock_Seguridad!X101</f>
        <v>SOBRE MAX VENDIBLE</v>
      </c>
      <c r="F101" s="20" t="n">
        <f aca="false">Stock_Seguridad!W101</f>
        <v>12.6854180829368</v>
      </c>
      <c r="G101" s="21" t="n">
        <f aca="false">Stock_Seguridad!T101</f>
        <v>14928.2</v>
      </c>
      <c r="H101" s="21" t="n">
        <f aca="false">Stock_Seguridad!R101</f>
        <v>2266.53471032312</v>
      </c>
      <c r="I101" s="21" t="n">
        <f aca="false">Stock_Seguridad!S101</f>
        <v>3443.33471032312</v>
      </c>
      <c r="J101" s="21" t="n">
        <f aca="false">Stock_Seguridad!U101</f>
        <v>0</v>
      </c>
      <c r="K101" s="22"/>
      <c r="L101" s="23" t="n">
        <v>1304.1</v>
      </c>
      <c r="M101" s="23" t="n">
        <v>13624.05</v>
      </c>
      <c r="N101" s="23" t="n">
        <v>1304.1</v>
      </c>
      <c r="O101" s="24" t="n">
        <v>0.263461982898082</v>
      </c>
      <c r="P101" s="24" t="n">
        <f aca="false">IF(ISNUMBER(Stock_Seguridad!N101),Stock_Seguridad!N101,"")</f>
        <v>0.266355140186916</v>
      </c>
      <c r="Q101" s="24" t="n">
        <f aca="false">IF(AND(ISNUMBER(O101),ISNUMBER(P101)),P101-O101,"")</f>
        <v>0.0028931572888341</v>
      </c>
      <c r="R101" s="23" t="n">
        <f aca="false">MAX(0,G101-N(L101))</f>
        <v>13624.1</v>
      </c>
      <c r="S101" s="23" t="n">
        <f aca="false">SUMIFS(Cadenas_vs_FCST!$D$17:$D$652,Cadenas_vs_FCST!$A$17:$A$652,A101)</f>
        <v>3418.95</v>
      </c>
      <c r="T101" s="23" t="n">
        <f aca="false">SUMIFS(Cadenas_vs_FCST!$E$17:$E$652,Cadenas_vs_FCST!$A$17:$A$652,A101)</f>
        <v>6968.13798089256</v>
      </c>
      <c r="U101" s="24" t="n">
        <f aca="false">IF(T101&gt;0,S101/T101-1,"")</f>
        <v>-0.509345249853669</v>
      </c>
      <c r="V101" s="3" t="str">
        <f aca="false">IF(OR(E101="BAJO SS",E101="BAJO SS (XLIB CUBRE)"),"SÍ","")</f>
        <v/>
      </c>
      <c r="W101" s="3" t="str">
        <f aca="false">IF(AND(V101="",N(L101)&gt;=Parametros!$B$17,G101&gt;=H101,R101&lt;H101),"SÍ","")</f>
        <v/>
      </c>
      <c r="X101" s="3" t="str">
        <f aca="false">IF(OR(E101="SOBRE MAX VENDIBLE",N(N101)&gt;=Parametros!$B$17,N(M101)&gt;=Parametros!$B$17),"SÍ","")</f>
        <v>SÍ</v>
      </c>
      <c r="Y101" s="3" t="str">
        <f aca="false">IF(AND(ISNUMBER(U101),MAX(S101,T101)&gt;=Parametros!$B$15,ABS(N(U101))&gt;Parametros!$B$14),"SÍ","")</f>
        <v>SÍ</v>
      </c>
      <c r="Z101" s="3" t="n">
        <f aca="false">COUNTIF(V101:Y101,"SÍ")</f>
        <v>2</v>
      </c>
      <c r="AA101" s="3" t="n">
        <f aca="false">(3*(V101="SÍ")+2*(W101="SÍ")+2*(X101="SÍ")+(Y101="SÍ"))*IF(LEFT(D101,1)="A",3,IF(OR(LEFT(D101,1)="B",D101="SIN HIST"),2,1))</f>
        <v>3</v>
      </c>
      <c r="AB101" s="3" t="str">
        <f aca="false">IF(AA101&gt;=9,"1-ALTA",IF(AA101&gt;=4,"2-MEDIA",IF(AA101&gt;0,"3-BAJA","")))</f>
        <v>3-BAJA</v>
      </c>
      <c r="AC101" s="3" t="str">
        <f aca="false">IF(E101="BAJO SS","Stock + XLIB bajo el SS: riesgo real de quiebre, adelantar producción. ","")&amp;IF(E101="BAJO SS (XLIB CUBRE)","Disponible bajo el SS; depende de liberar "&amp;TEXT(J101,"#,##0")&amp;" kg"&amp;IF(ISNUMBER(K101)," el "&amp;TEXT(K101,"dd-mm"),"")&amp;". ","")&amp;IF(W101="SÍ","Stock parece sano pero "&amp;TEXT(L101,"#,##0")&amp;" kg no pasan filtro "&amp;Stock_Seguridad!O101&amp;": sin ellos queda bajo el SS para esa cadena. ","")&amp;IF(E101="SOBRE MAX VENDIBLE","Sobrestock vs vida útil: frenar producción/activar venta. ","")&amp;IF(N(N101)&gt;=Parametros!$B$17,TEXT(N101,"#,##0")&amp;" kg ya no los acepta ninguna cadena: venta intermedia/liquidación. ","")&amp;IF(N(M101)&gt;=Parametros!$B$17,TEXT(M101,"#,##0")&amp;" kg a punto de salir del filtro: despachar primero (FEFO). ","")&amp;IF(Y101="SÍ","Pedidos "&amp;IF(N(U101)&gt;0,"sobre","bajo")&amp;" FCST "&amp;TEXT(ABS(N(U101)),"0%")&amp;": revisar forecast con KAM.","")</f>
        <v>Sobrestock vs vida útil: frenar producción/activar venta. 1,304 kg ya no los acepta ninguna cadena: venta intermedia/liquidación. 13,624 kg a punto de salir del filtro: despachar primero (FEFO). Pedidos bajo FCST 51%: revisar forecast con KAM.</v>
      </c>
    </row>
    <row r="102" customFormat="false" ht="15" hidden="false" customHeight="false" outlineLevel="0" collapsed="false">
      <c r="A102" s="18" t="n">
        <f aca="false">Stock_Seguridad!A102</f>
        <v>30001665</v>
      </c>
      <c r="B102" s="18" t="str">
        <f aca="false">Stock_Seguridad!B102</f>
        <v>LECHE POLVO EXTRA CALCIO LONCO 10X800GR</v>
      </c>
      <c r="C102" s="18" t="str">
        <f aca="false">Stock_Seguridad!C102</f>
        <v>LECHES EN POLVO</v>
      </c>
      <c r="D102" s="18" t="str">
        <f aca="false">Stock_Seguridad!F102</f>
        <v>CX</v>
      </c>
      <c r="E102" s="19" t="str">
        <f aca="false">Stock_Seguridad!X102</f>
        <v>OK</v>
      </c>
      <c r="F102" s="20" t="n">
        <f aca="false">Stock_Seguridad!W102</f>
        <v>3.83467672783399</v>
      </c>
      <c r="G102" s="21" t="n">
        <f aca="false">Stock_Seguridad!T102</f>
        <v>4472</v>
      </c>
      <c r="H102" s="21" t="n">
        <f aca="false">Stock_Seguridad!R102</f>
        <v>365.078644189246</v>
      </c>
      <c r="I102" s="21" t="n">
        <f aca="false">Stock_Seguridad!S102</f>
        <v>1531.27864418925</v>
      </c>
      <c r="J102" s="21" t="n">
        <f aca="false">Stock_Seguridad!U102</f>
        <v>0</v>
      </c>
      <c r="K102" s="22"/>
      <c r="L102" s="23" t="n">
        <v>0</v>
      </c>
      <c r="M102" s="23" t="n">
        <v>0</v>
      </c>
      <c r="N102" s="23" t="n">
        <v>0</v>
      </c>
      <c r="O102" s="24" t="n">
        <v>0.0466666666666667</v>
      </c>
      <c r="P102" s="24" t="n">
        <f aca="false">IF(ISNUMBER(Stock_Seguridad!N102),Stock_Seguridad!N102,"")</f>
        <v>0.328467153284672</v>
      </c>
      <c r="Q102" s="24" t="n">
        <f aca="false">IF(AND(ISNUMBER(O102),ISNUMBER(P102)),P102-O102,"")</f>
        <v>0.281800486618005</v>
      </c>
      <c r="R102" s="23" t="n">
        <f aca="false">MAX(0,G102-N(L102))</f>
        <v>4472</v>
      </c>
      <c r="S102" s="23" t="n">
        <f aca="false">SUMIFS(Cadenas_vs_FCST!$D$17:$D$652,Cadenas_vs_FCST!$A$17:$A$652,A102)</f>
        <v>3824</v>
      </c>
      <c r="T102" s="23" t="n">
        <f aca="false">SUMIFS(Cadenas_vs_FCST!$E$17:$E$652,Cadenas_vs_FCST!$A$17:$A$652,A102)</f>
        <v>4914.15523754267</v>
      </c>
      <c r="U102" s="24" t="n">
        <f aca="false">IF(T102&gt;0,S102/T102-1,"")</f>
        <v>-0.221839804573981</v>
      </c>
      <c r="V102" s="3" t="str">
        <f aca="false">IF(OR(E102="BAJO SS",E102="BAJO SS (XLIB CUBRE)"),"SÍ","")</f>
        <v/>
      </c>
      <c r="W102" s="3" t="str">
        <f aca="false">IF(AND(V102="",N(L102)&gt;=Parametros!$B$17,G102&gt;=H102,R102&lt;H102),"SÍ","")</f>
        <v/>
      </c>
      <c r="X102" s="3" t="str">
        <f aca="false">IF(OR(E102="SOBRE MAX VENDIBLE",N(N102)&gt;=Parametros!$B$17,N(M102)&gt;=Parametros!$B$17),"SÍ","")</f>
        <v/>
      </c>
      <c r="Y102" s="3" t="str">
        <f aca="false">IF(AND(ISNUMBER(U102),MAX(S102,T102)&gt;=Parametros!$B$15,ABS(N(U102))&gt;Parametros!$B$14),"SÍ","")</f>
        <v>SÍ</v>
      </c>
      <c r="Z102" s="3" t="n">
        <f aca="false">COUNTIF(V102:Y102,"SÍ")</f>
        <v>1</v>
      </c>
      <c r="AA102" s="3" t="n">
        <f aca="false">(3*(V102="SÍ")+2*(W102="SÍ")+2*(X102="SÍ")+(Y102="SÍ"))*IF(LEFT(D102,1)="A",3,IF(OR(LEFT(D102,1)="B",D102="SIN HIST"),2,1))</f>
        <v>1</v>
      </c>
      <c r="AB102" s="3" t="str">
        <f aca="false">IF(AA102&gt;=9,"1-ALTA",IF(AA102&gt;=4,"2-MEDIA",IF(AA102&gt;0,"3-BAJA","")))</f>
        <v>3-BAJA</v>
      </c>
      <c r="AC102" s="3" t="str">
        <f aca="false">IF(E102="BAJO SS","Stock + XLIB bajo el SS: riesgo real de quiebre, adelantar producción. ","")&amp;IF(E102="BAJO SS (XLIB CUBRE)","Disponible bajo el SS; depende de liberar "&amp;TEXT(J102,"#,##0")&amp;" kg"&amp;IF(ISNUMBER(K102)," el "&amp;TEXT(K102,"dd-mm"),"")&amp;". ","")&amp;IF(W102="SÍ","Stock parece sano pero "&amp;TEXT(L102,"#,##0")&amp;" kg no pasan filtro "&amp;Stock_Seguridad!O102&amp;": sin ellos queda bajo el SS para esa cadena. ","")&amp;IF(E102="SOBRE MAX VENDIBLE","Sobrestock vs vida útil: frenar producción/activar venta. ","")&amp;IF(N(N102)&gt;=Parametros!$B$17,TEXT(N102,"#,##0")&amp;" kg ya no los acepta ninguna cadena: venta intermedia/liquidación. ","")&amp;IF(N(M102)&gt;=Parametros!$B$17,TEXT(M102,"#,##0")&amp;" kg a punto de salir del filtro: despachar primero (FEFO). ","")&amp;IF(Y102="SÍ","Pedidos "&amp;IF(N(U102)&gt;0,"sobre","bajo")&amp;" FCST "&amp;TEXT(ABS(N(U102)),"0%")&amp;": revisar forecast con KAM.","")</f>
        <v>Pedidos bajo FCST 22%: revisar forecast con KAM.</v>
      </c>
    </row>
    <row r="103" customFormat="false" ht="15" hidden="false" customHeight="false" outlineLevel="0" collapsed="false">
      <c r="A103" s="18" t="n">
        <f aca="false">Stock_Seguridad!A103</f>
        <v>30001988</v>
      </c>
      <c r="B103" s="18" t="str">
        <f aca="false">Stock_Seguridad!B103</f>
        <v>LECHE FRUTILLA LONCO LECHE 30X115ML</v>
      </c>
      <c r="C103" s="18" t="str">
        <f aca="false">Stock_Seguridad!C103</f>
        <v>LECHES LIQUIDAS</v>
      </c>
      <c r="D103" s="18" t="str">
        <f aca="false">Stock_Seguridad!F103</f>
        <v>CY</v>
      </c>
      <c r="E103" s="19" t="str">
        <f aca="false">Stock_Seguridad!X103</f>
        <v>SOBRE MAX VENDIBLE</v>
      </c>
      <c r="F103" s="20" t="n">
        <f aca="false">Stock_Seguridad!W103</f>
        <v>11.6472</v>
      </c>
      <c r="G103" s="21" t="n">
        <f aca="false">Stock_Seguridad!T103</f>
        <v>13103.1</v>
      </c>
      <c r="H103" s="21" t="n">
        <f aca="false">Stock_Seguridad!R103</f>
        <v>1976.61759060406</v>
      </c>
      <c r="I103" s="21" t="n">
        <f aca="false">Stock_Seguridad!S103</f>
        <v>3101.61759060406</v>
      </c>
      <c r="J103" s="21" t="n">
        <f aca="false">Stock_Seguridad!U103</f>
        <v>0</v>
      </c>
      <c r="K103" s="22"/>
      <c r="L103" s="23" t="n">
        <v>1079.85</v>
      </c>
      <c r="M103" s="23" t="n">
        <v>12023.25</v>
      </c>
      <c r="N103" s="23" t="n">
        <v>0</v>
      </c>
      <c r="O103" s="24" t="n">
        <v>0.232738283307004</v>
      </c>
      <c r="P103" s="24" t="n">
        <f aca="false">IF(ISNUMBER(Stock_Seguridad!N103),Stock_Seguridad!N103,"")</f>
        <v>0.266355140186916</v>
      </c>
      <c r="Q103" s="24" t="n">
        <f aca="false">IF(AND(ISNUMBER(O103),ISNUMBER(P103)),P103-O103,"")</f>
        <v>0.0336168568799122</v>
      </c>
      <c r="R103" s="23" t="n">
        <f aca="false">MAX(0,G103-N(L103))</f>
        <v>12023.25</v>
      </c>
      <c r="S103" s="23" t="n">
        <f aca="false">SUMIFS(Cadenas_vs_FCST!$D$17:$D$652,Cadenas_vs_FCST!$A$17:$A$652,A103)</f>
        <v>3243</v>
      </c>
      <c r="T103" s="23" t="n">
        <f aca="false">SUMIFS(Cadenas_vs_FCST!$E$17:$E$652,Cadenas_vs_FCST!$A$17:$A$652,A103)</f>
        <v>6873.605</v>
      </c>
      <c r="U103" s="24" t="n">
        <f aca="false">IF(T103&gt;0,S103/T103-1,"")</f>
        <v>-0.528195175602904</v>
      </c>
      <c r="V103" s="3" t="str">
        <f aca="false">IF(OR(E103="BAJO SS",E103="BAJO SS (XLIB CUBRE)"),"SÍ","")</f>
        <v/>
      </c>
      <c r="W103" s="3" t="str">
        <f aca="false">IF(AND(V103="",N(L103)&gt;=Parametros!$B$17,G103&gt;=H103,R103&lt;H103),"SÍ","")</f>
        <v/>
      </c>
      <c r="X103" s="3" t="str">
        <f aca="false">IF(OR(E103="SOBRE MAX VENDIBLE",N(N103)&gt;=Parametros!$B$17,N(M103)&gt;=Parametros!$B$17),"SÍ","")</f>
        <v>SÍ</v>
      </c>
      <c r="Y103" s="3" t="str">
        <f aca="false">IF(AND(ISNUMBER(U103),MAX(S103,T103)&gt;=Parametros!$B$15,ABS(N(U103))&gt;Parametros!$B$14),"SÍ","")</f>
        <v>SÍ</v>
      </c>
      <c r="Z103" s="3" t="n">
        <f aca="false">COUNTIF(V103:Y103,"SÍ")</f>
        <v>2</v>
      </c>
      <c r="AA103" s="3" t="n">
        <f aca="false">(3*(V103="SÍ")+2*(W103="SÍ")+2*(X103="SÍ")+(Y103="SÍ"))*IF(LEFT(D103,1)="A",3,IF(OR(LEFT(D103,1)="B",D103="SIN HIST"),2,1))</f>
        <v>3</v>
      </c>
      <c r="AB103" s="3" t="str">
        <f aca="false">IF(AA103&gt;=9,"1-ALTA",IF(AA103&gt;=4,"2-MEDIA",IF(AA103&gt;0,"3-BAJA","")))</f>
        <v>3-BAJA</v>
      </c>
      <c r="AC103" s="3" t="str">
        <f aca="false">IF(E103="BAJO SS","Stock + XLIB bajo el SS: riesgo real de quiebre, adelantar producción. ","")&amp;IF(E103="BAJO SS (XLIB CUBRE)","Disponible bajo el SS; depende de liberar "&amp;TEXT(J103,"#,##0")&amp;" kg"&amp;IF(ISNUMBER(K103)," el "&amp;TEXT(K103,"dd-mm"),"")&amp;". ","")&amp;IF(W103="SÍ","Stock parece sano pero "&amp;TEXT(L103,"#,##0")&amp;" kg no pasan filtro "&amp;Stock_Seguridad!O103&amp;": sin ellos queda bajo el SS para esa cadena. ","")&amp;IF(E103="SOBRE MAX VENDIBLE","Sobrestock vs vida útil: frenar producción/activar venta. ","")&amp;IF(N(N103)&gt;=Parametros!$B$17,TEXT(N103,"#,##0")&amp;" kg ya no los acepta ninguna cadena: venta intermedia/liquidación. ","")&amp;IF(N(M103)&gt;=Parametros!$B$17,TEXT(M103,"#,##0")&amp;" kg a punto de salir del filtro: despachar primero (FEFO). ","")&amp;IF(Y103="SÍ","Pedidos "&amp;IF(N(U103)&gt;0,"sobre","bajo")&amp;" FCST "&amp;TEXT(ABS(N(U103)),"0%")&amp;": revisar forecast con KAM.","")</f>
        <v>Sobrestock vs vida útil: frenar producción/activar venta. 12,023 kg a punto de salir del filtro: despachar primero (FEFO). Pedidos bajo FCST 53%: revisar forecast con KAM.</v>
      </c>
    </row>
    <row r="104" customFormat="false" ht="15" hidden="false" customHeight="false" outlineLevel="0" collapsed="false">
      <c r="A104" s="18" t="n">
        <f aca="false">Stock_Seguridad!A104</f>
        <v>30002325</v>
      </c>
      <c r="B104" s="18" t="str">
        <f aca="false">Stock_Seguridad!B104</f>
        <v>NECTAR WTS PROTEIN CIRU-BERRIES 18X250ML</v>
      </c>
      <c r="C104" s="18" t="str">
        <f aca="false">Stock_Seguridad!C104</f>
        <v>JUGOS Y NECTARES</v>
      </c>
      <c r="D104" s="18" t="str">
        <f aca="false">Stock_Seguridad!F104</f>
        <v>CX</v>
      </c>
      <c r="E104" s="19" t="str">
        <f aca="false">Stock_Seguridad!X104</f>
        <v>OK</v>
      </c>
      <c r="F104" s="20" t="n">
        <f aca="false">Stock_Seguridad!W104</f>
        <v>9.92583037729765</v>
      </c>
      <c r="G104" s="21" t="n">
        <f aca="false">Stock_Seguridad!T104</f>
        <v>9234</v>
      </c>
      <c r="H104" s="21" t="n">
        <f aca="false">Stock_Seguridad!R104</f>
        <v>1830.9839663482</v>
      </c>
      <c r="I104" s="21" t="n">
        <f aca="false">Stock_Seguridad!S104</f>
        <v>2761.2839663482</v>
      </c>
      <c r="J104" s="21" t="n">
        <f aca="false">Stock_Seguridad!U104</f>
        <v>0</v>
      </c>
      <c r="K104" s="22"/>
      <c r="L104" s="23" t="n">
        <v>0</v>
      </c>
      <c r="M104" s="23" t="n">
        <v>0</v>
      </c>
      <c r="N104" s="23" t="n">
        <v>0</v>
      </c>
      <c r="O104" s="24" t="n">
        <v>0.136968810916179</v>
      </c>
      <c r="P104" s="24" t="str">
        <f aca="false">IF(ISNUMBER(Stock_Seguridad!N104),Stock_Seguridad!N104,"")</f>
        <v/>
      </c>
      <c r="Q104" s="24" t="str">
        <f aca="false">IF(AND(ISNUMBER(O104),ISNUMBER(P104)),P104-O104,"")</f>
        <v/>
      </c>
      <c r="R104" s="23" t="n">
        <f aca="false">MAX(0,G104-N(L104))</f>
        <v>9234</v>
      </c>
      <c r="S104" s="23" t="n">
        <f aca="false">SUMIFS(Cadenas_vs_FCST!$D$17:$D$652,Cadenas_vs_FCST!$A$17:$A$652,A104)</f>
        <v>8100</v>
      </c>
      <c r="T104" s="23" t="n">
        <f aca="false">SUMIFS(Cadenas_vs_FCST!$E$17:$E$652,Cadenas_vs_FCST!$A$17:$A$652,A104)</f>
        <v>5477.87533222102</v>
      </c>
      <c r="U104" s="24" t="n">
        <f aca="false">IF(T104&gt;0,S104/T104-1,"")</f>
        <v>0.478675491637344</v>
      </c>
      <c r="V104" s="3" t="str">
        <f aca="false">IF(OR(E104="BAJO SS",E104="BAJO SS (XLIB CUBRE)"),"SÍ","")</f>
        <v/>
      </c>
      <c r="W104" s="3" t="str">
        <f aca="false">IF(AND(V104="",N(L104)&gt;=Parametros!$B$17,G104&gt;=H104,R104&lt;H104),"SÍ","")</f>
        <v/>
      </c>
      <c r="X104" s="3" t="str">
        <f aca="false">IF(OR(E104="SOBRE MAX VENDIBLE",N(N104)&gt;=Parametros!$B$17,N(M104)&gt;=Parametros!$B$17),"SÍ","")</f>
        <v/>
      </c>
      <c r="Y104" s="3" t="str">
        <f aca="false">IF(AND(ISNUMBER(U104),MAX(S104,T104)&gt;=Parametros!$B$15,ABS(N(U104))&gt;Parametros!$B$14),"SÍ","")</f>
        <v>SÍ</v>
      </c>
      <c r="Z104" s="3" t="n">
        <f aca="false">COUNTIF(V104:Y104,"SÍ")</f>
        <v>1</v>
      </c>
      <c r="AA104" s="3" t="n">
        <f aca="false">(3*(V104="SÍ")+2*(W104="SÍ")+2*(X104="SÍ")+(Y104="SÍ"))*IF(LEFT(D104,1)="A",3,IF(OR(LEFT(D104,1)="B",D104="SIN HIST"),2,1))</f>
        <v>1</v>
      </c>
      <c r="AB104" s="3" t="str">
        <f aca="false">IF(AA104&gt;=9,"1-ALTA",IF(AA104&gt;=4,"2-MEDIA",IF(AA104&gt;0,"3-BAJA","")))</f>
        <v>3-BAJA</v>
      </c>
      <c r="AC104" s="3" t="str">
        <f aca="false">IF(E104="BAJO SS","Stock + XLIB bajo el SS: riesgo real de quiebre, adelantar producción. ","")&amp;IF(E104="BAJO SS (XLIB CUBRE)","Disponible bajo el SS; depende de liberar "&amp;TEXT(J104,"#,##0")&amp;" kg"&amp;IF(ISNUMBER(K104)," el "&amp;TEXT(K104,"dd-mm"),"")&amp;". ","")&amp;IF(W104="SÍ","Stock parece sano pero "&amp;TEXT(L104,"#,##0")&amp;" kg no pasan filtro "&amp;Stock_Seguridad!O104&amp;": sin ellos queda bajo el SS para esa cadena. ","")&amp;IF(E104="SOBRE MAX VENDIBLE","Sobrestock vs vida útil: frenar producción/activar venta. ","")&amp;IF(N(N104)&gt;=Parametros!$B$17,TEXT(N104,"#,##0")&amp;" kg ya no los acepta ninguna cadena: venta intermedia/liquidación. ","")&amp;IF(N(M104)&gt;=Parametros!$B$17,TEXT(M104,"#,##0")&amp;" kg a punto de salir del filtro: despachar primero (FEFO). ","")&amp;IF(Y104="SÍ","Pedidos "&amp;IF(N(U104)&gt;0,"sobre","bajo")&amp;" FCST "&amp;TEXT(ABS(N(U104)),"0%")&amp;": revisar forecast con KAM.","")</f>
        <v>Pedidos sobre FCST 48%: revisar forecast con KAM.</v>
      </c>
    </row>
    <row r="105" customFormat="false" ht="15" hidden="false" customHeight="false" outlineLevel="0" collapsed="false">
      <c r="A105" s="18" t="n">
        <f aca="false">Stock_Seguridad!A105</f>
        <v>30001776</v>
      </c>
      <c r="B105" s="18" t="str">
        <f aca="false">Stock_Seguridad!B105</f>
        <v>JUGO 100% WATTS MZNA LV 12X1LT</v>
      </c>
      <c r="C105" s="18" t="str">
        <f aca="false">Stock_Seguridad!C105</f>
        <v>JUGOS Y NECTARES</v>
      </c>
      <c r="D105" s="18" t="str">
        <f aca="false">Stock_Seguridad!F105</f>
        <v>CY</v>
      </c>
      <c r="E105" s="19" t="str">
        <f aca="false">Stock_Seguridad!X105</f>
        <v>SOBRE MAX VENDIBLE</v>
      </c>
      <c r="F105" s="20" t="n">
        <f aca="false">Stock_Seguridad!W105</f>
        <v>5.98676146114244</v>
      </c>
      <c r="G105" s="21" t="n">
        <f aca="false">Stock_Seguridad!T105</f>
        <v>4884</v>
      </c>
      <c r="H105" s="21" t="n">
        <f aca="false">Stock_Seguridad!R105</f>
        <v>856.112508538283</v>
      </c>
      <c r="I105" s="21" t="n">
        <f aca="false">Stock_Seguridad!S105</f>
        <v>1671.91250853828</v>
      </c>
      <c r="J105" s="21" t="n">
        <f aca="false">Stock_Seguridad!U105</f>
        <v>0</v>
      </c>
      <c r="K105" s="22"/>
      <c r="L105" s="23" t="n">
        <v>4884</v>
      </c>
      <c r="M105" s="23" t="n">
        <v>0</v>
      </c>
      <c r="N105" s="23" t="n">
        <v>12</v>
      </c>
      <c r="O105" s="24" t="n">
        <v>0.280737100737101</v>
      </c>
      <c r="P105" s="24" t="n">
        <f aca="false">IF(ISNUMBER(Stock_Seguridad!N105),Stock_Seguridad!N105,"")</f>
        <v>0.190217391304348</v>
      </c>
      <c r="Q105" s="24" t="n">
        <f aca="false">IF(AND(ISNUMBER(O105),ISNUMBER(P105)),P105-O105,"")</f>
        <v>-0.090519709432753</v>
      </c>
      <c r="R105" s="23" t="n">
        <f aca="false">MAX(0,G105-N(L105))</f>
        <v>0</v>
      </c>
      <c r="S105" s="23" t="n">
        <f aca="false">SUMIFS(Cadenas_vs_FCST!$D$17:$D$652,Cadenas_vs_FCST!$A$17:$A$652,A105)</f>
        <v>1164</v>
      </c>
      <c r="T105" s="23" t="n">
        <f aca="false">SUMIFS(Cadenas_vs_FCST!$E$17:$E$652,Cadenas_vs_FCST!$A$17:$A$652,A105)</f>
        <v>2870.9165901585</v>
      </c>
      <c r="U105" s="24" t="n">
        <f aca="false">IF(T105&gt;0,S105/T105-1,"")</f>
        <v>-0.594554573967705</v>
      </c>
      <c r="V105" s="3" t="str">
        <f aca="false">IF(OR(E105="BAJO SS",E105="BAJO SS (XLIB CUBRE)"),"SÍ","")</f>
        <v/>
      </c>
      <c r="W105" s="3" t="str">
        <f aca="false">IF(AND(V105="",N(L105)&gt;=Parametros!$B$17,G105&gt;=H105,R105&lt;H105),"SÍ","")</f>
        <v>SÍ</v>
      </c>
      <c r="X105" s="3" t="str">
        <f aca="false">IF(OR(E105="SOBRE MAX VENDIBLE",N(N105)&gt;=Parametros!$B$17,N(M105)&gt;=Parametros!$B$17),"SÍ","")</f>
        <v>SÍ</v>
      </c>
      <c r="Y105" s="3" t="str">
        <f aca="false">IF(AND(ISNUMBER(U105),MAX(S105,T105)&gt;=Parametros!$B$15,ABS(N(U105))&gt;Parametros!$B$14),"SÍ","")</f>
        <v>SÍ</v>
      </c>
      <c r="Z105" s="3" t="n">
        <f aca="false">COUNTIF(V105:Y105,"SÍ")</f>
        <v>3</v>
      </c>
      <c r="AA105" s="3" t="n">
        <f aca="false">(3*(V105="SÍ")+2*(W105="SÍ")+2*(X105="SÍ")+(Y105="SÍ"))*IF(LEFT(D105,1)="A",3,IF(OR(LEFT(D105,1)="B",D105="SIN HIST"),2,1))</f>
        <v>5</v>
      </c>
      <c r="AB105" s="3" t="str">
        <f aca="false">IF(AA105&gt;=9,"1-ALTA",IF(AA105&gt;=4,"2-MEDIA",IF(AA105&gt;0,"3-BAJA","")))</f>
        <v>2-MEDIA</v>
      </c>
      <c r="AC105" s="3" t="str">
        <f aca="false">IF(E105="BAJO SS","Stock + XLIB bajo el SS: riesgo real de quiebre, adelantar producción. ","")&amp;IF(E105="BAJO SS (XLIB CUBRE)","Disponible bajo el SS; depende de liberar "&amp;TEXT(J105,"#,##0")&amp;" kg"&amp;IF(ISNUMBER(K105)," el "&amp;TEXT(K105,"dd-mm"),"")&amp;". ","")&amp;IF(W105="SÍ","Stock parece sano pero "&amp;TEXT(L105,"#,##0")&amp;" kg no pasan filtro "&amp;Stock_Seguridad!O105&amp;": sin ellos queda bajo el SS para esa cadena. ","")&amp;IF(E105="SOBRE MAX VENDIBLE","Sobrestock vs vida útil: frenar producción/activar venta. ","")&amp;IF(N(N105)&gt;=Parametros!$B$17,TEXT(N105,"#,##0")&amp;" kg ya no los acepta ninguna cadena: venta intermedia/liquidación. ","")&amp;IF(N(M105)&gt;=Parametros!$B$17,TEXT(M105,"#,##0")&amp;" kg a punto de salir del filtro: despachar primero (FEFO). ","")&amp;IF(Y105="SÍ","Pedidos "&amp;IF(N(U105)&gt;0,"sobre","bajo")&amp;" FCST "&amp;TEXT(ABS(N(U105)),"0%")&amp;": revisar forecast con KAM.","")</f>
        <v>Stock parece sano pero 4,884 kg no pasan filtro CENCOSUD CENTRAL: sin ellos queda bajo el SS para esa cadena. Sobrestock vs vida útil: frenar producción/activar venta. Pedidos bajo FCST 59%: revisar forecast con KAM.</v>
      </c>
    </row>
    <row r="106" customFormat="false" ht="15" hidden="false" customHeight="false" outlineLevel="0" collapsed="false">
      <c r="A106" s="18" t="n">
        <f aca="false">Stock_Seguridad!A106</f>
        <v>30002269</v>
      </c>
      <c r="B106" s="18" t="str">
        <f aca="false">Stock_Seguridad!B106</f>
        <v>CREMA S/L BATIR LONCO 12X500ML</v>
      </c>
      <c r="C106" s="18" t="str">
        <f aca="false">Stock_Seguridad!C106</f>
        <v>CREMA</v>
      </c>
      <c r="D106" s="18" t="str">
        <f aca="false">Stock_Seguridad!F106</f>
        <v>CY</v>
      </c>
      <c r="E106" s="19" t="str">
        <f aca="false">Stock_Seguridad!X106</f>
        <v>OK</v>
      </c>
      <c r="F106" s="20" t="n">
        <f aca="false">Stock_Seguridad!W106</f>
        <v>5.04935834155972</v>
      </c>
      <c r="G106" s="21" t="n">
        <f aca="false">Stock_Seguridad!T106</f>
        <v>4092</v>
      </c>
      <c r="H106" s="21" t="n">
        <f aca="false">Stock_Seguridad!R106</f>
        <v>2421.99288545989</v>
      </c>
      <c r="I106" s="21" t="n">
        <f aca="false">Stock_Seguridad!S106</f>
        <v>3232.39288545989</v>
      </c>
      <c r="J106" s="21" t="n">
        <f aca="false">Stock_Seguridad!U106</f>
        <v>0</v>
      </c>
      <c r="K106" s="22"/>
      <c r="L106" s="23" t="n">
        <v>6</v>
      </c>
      <c r="M106" s="23" t="n">
        <v>42</v>
      </c>
      <c r="N106" s="23" t="n">
        <v>6</v>
      </c>
      <c r="O106" s="24" t="n">
        <v>0.161715542521994</v>
      </c>
      <c r="P106" s="24" t="n">
        <f aca="false">IF(ISNUMBER(Stock_Seguridad!N106),Stock_Seguridad!N106,"")</f>
        <v>0.29</v>
      </c>
      <c r="Q106" s="24" t="n">
        <f aca="false">IF(AND(ISNUMBER(O106),ISNUMBER(P106)),P106-O106,"")</f>
        <v>0.128284457478006</v>
      </c>
      <c r="R106" s="23" t="n">
        <f aca="false">MAX(0,G106-N(L106))</f>
        <v>4086</v>
      </c>
      <c r="S106" s="23" t="n">
        <f aca="false">SUMIFS(Cadenas_vs_FCST!$D$17:$D$652,Cadenas_vs_FCST!$A$17:$A$652,A106)</f>
        <v>7752</v>
      </c>
      <c r="T106" s="23" t="n">
        <f aca="false">SUMIFS(Cadenas_vs_FCST!$E$17:$E$652,Cadenas_vs_FCST!$A$17:$A$652,A106)</f>
        <v>5556.75930061848</v>
      </c>
      <c r="U106" s="24" t="n">
        <f aca="false">IF(T106&gt;0,S106/T106-1,"")</f>
        <v>0.39505772710673</v>
      </c>
      <c r="V106" s="3" t="str">
        <f aca="false">IF(OR(E106="BAJO SS",E106="BAJO SS (XLIB CUBRE)"),"SÍ","")</f>
        <v/>
      </c>
      <c r="W106" s="3" t="str">
        <f aca="false">IF(AND(V106="",N(L106)&gt;=Parametros!$B$17,G106&gt;=H106,R106&lt;H106),"SÍ","")</f>
        <v/>
      </c>
      <c r="X106" s="3" t="str">
        <f aca="false">IF(OR(E106="SOBRE MAX VENDIBLE",N(N106)&gt;=Parametros!$B$17,N(M106)&gt;=Parametros!$B$17),"SÍ","")</f>
        <v/>
      </c>
      <c r="Y106" s="3" t="str">
        <f aca="false">IF(AND(ISNUMBER(U106),MAX(S106,T106)&gt;=Parametros!$B$15,ABS(N(U106))&gt;Parametros!$B$14),"SÍ","")</f>
        <v>SÍ</v>
      </c>
      <c r="Z106" s="3" t="n">
        <f aca="false">COUNTIF(V106:Y106,"SÍ")</f>
        <v>1</v>
      </c>
      <c r="AA106" s="3" t="n">
        <f aca="false">(3*(V106="SÍ")+2*(W106="SÍ")+2*(X106="SÍ")+(Y106="SÍ"))*IF(LEFT(D106,1)="A",3,IF(OR(LEFT(D106,1)="B",D106="SIN HIST"),2,1))</f>
        <v>1</v>
      </c>
      <c r="AB106" s="3" t="str">
        <f aca="false">IF(AA106&gt;=9,"1-ALTA",IF(AA106&gt;=4,"2-MEDIA",IF(AA106&gt;0,"3-BAJA","")))</f>
        <v>3-BAJA</v>
      </c>
      <c r="AC106" s="3" t="str">
        <f aca="false">IF(E106="BAJO SS","Stock + XLIB bajo el SS: riesgo real de quiebre, adelantar producción. ","")&amp;IF(E106="BAJO SS (XLIB CUBRE)","Disponible bajo el SS; depende de liberar "&amp;TEXT(J106,"#,##0")&amp;" kg"&amp;IF(ISNUMBER(K106)," el "&amp;TEXT(K106,"dd-mm"),"")&amp;". ","")&amp;IF(W106="SÍ","Stock parece sano pero "&amp;TEXT(L106,"#,##0")&amp;" kg no pasan filtro "&amp;Stock_Seguridad!O106&amp;": sin ellos queda bajo el SS para esa cadena. ","")&amp;IF(E106="SOBRE MAX VENDIBLE","Sobrestock vs vida útil: frenar producción/activar venta. ","")&amp;IF(N(N106)&gt;=Parametros!$B$17,TEXT(N106,"#,##0")&amp;" kg ya no los acepta ninguna cadena: venta intermedia/liquidación. ","")&amp;IF(N(M106)&gt;=Parametros!$B$17,TEXT(M106,"#,##0")&amp;" kg a punto de salir del filtro: despachar primero (FEFO). ","")&amp;IF(Y106="SÍ","Pedidos "&amp;IF(N(U106)&gt;0,"sobre","bajo")&amp;" FCST "&amp;TEXT(ABS(N(U106)),"0%")&amp;": revisar forecast con KAM.","")</f>
        <v>Pedidos sobre FCST 40%: revisar forecast con KAM.</v>
      </c>
    </row>
    <row r="107" customFormat="false" ht="15" hidden="false" customHeight="false" outlineLevel="0" collapsed="false">
      <c r="A107" s="18" t="n">
        <f aca="false">Stock_Seguridad!A107</f>
        <v>30000542</v>
      </c>
      <c r="B107" s="18" t="str">
        <f aca="false">Stock_Seguridad!B107</f>
        <v>LECHE POLVO LONCO PROTEIN 14X550GR</v>
      </c>
      <c r="C107" s="18" t="str">
        <f aca="false">Stock_Seguridad!C107</f>
        <v>LECHES EN POLVO</v>
      </c>
      <c r="D107" s="18" t="str">
        <f aca="false">Stock_Seguridad!F107</f>
        <v>CY</v>
      </c>
      <c r="E107" s="19" t="str">
        <f aca="false">Stock_Seguridad!X107</f>
        <v>OK</v>
      </c>
      <c r="F107" s="20" t="n">
        <f aca="false">Stock_Seguridad!W107</f>
        <v>1.82136119576259</v>
      </c>
      <c r="G107" s="21" t="n">
        <f aca="false">Stock_Seguridad!T107</f>
        <v>1255.1</v>
      </c>
      <c r="H107" s="21" t="n">
        <f aca="false">Stock_Seguridad!R107</f>
        <v>428.756951414271</v>
      </c>
      <c r="I107" s="21" t="n">
        <f aca="false">Stock_Seguridad!S107</f>
        <v>1117.85695141427</v>
      </c>
      <c r="J107" s="21" t="n">
        <f aca="false">Stock_Seguridad!U107</f>
        <v>0</v>
      </c>
      <c r="K107" s="22"/>
      <c r="L107" s="23" t="n">
        <v>92.4</v>
      </c>
      <c r="M107" s="23" t="n">
        <v>84.7</v>
      </c>
      <c r="N107" s="23" t="n">
        <v>30.8</v>
      </c>
      <c r="O107" s="24" t="n">
        <v>0.100432098765432</v>
      </c>
      <c r="P107" s="24" t="n">
        <f aca="false">IF(ISNUMBER(Stock_Seguridad!N107),Stock_Seguridad!N107,"")</f>
        <v>0.191780821917808</v>
      </c>
      <c r="Q107" s="24" t="n">
        <f aca="false">IF(AND(ISNUMBER(O107),ISNUMBER(P107)),P107-O107,"")</f>
        <v>0.0913487231523761</v>
      </c>
      <c r="R107" s="23" t="n">
        <f aca="false">MAX(0,G107-N(L107))</f>
        <v>1162.7</v>
      </c>
      <c r="S107" s="23" t="n">
        <f aca="false">SUMIFS(Cadenas_vs_FCST!$D$17:$D$652,Cadenas_vs_FCST!$A$17:$A$652,A107)</f>
        <v>1439.9</v>
      </c>
      <c r="T107" s="23" t="n">
        <f aca="false">SUMIFS(Cadenas_vs_FCST!$E$17:$E$652,Cadenas_vs_FCST!$A$17:$A$652,A107)</f>
        <v>2443.97952393219</v>
      </c>
      <c r="U107" s="24" t="n">
        <f aca="false">IF(T107&gt;0,S107/T107-1,"")</f>
        <v>-0.410837944467185</v>
      </c>
      <c r="V107" s="3" t="str">
        <f aca="false">IF(OR(E107="BAJO SS",E107="BAJO SS (XLIB CUBRE)"),"SÍ","")</f>
        <v/>
      </c>
      <c r="W107" s="3" t="str">
        <f aca="false">IF(AND(V107="",N(L107)&gt;=Parametros!$B$17,G107&gt;=H107,R107&lt;H107),"SÍ","")</f>
        <v/>
      </c>
      <c r="X107" s="3" t="str">
        <f aca="false">IF(OR(E107="SOBRE MAX VENDIBLE",N(N107)&gt;=Parametros!$B$17,N(M107)&gt;=Parametros!$B$17),"SÍ","")</f>
        <v/>
      </c>
      <c r="Y107" s="3" t="str">
        <f aca="false">IF(AND(ISNUMBER(U107),MAX(S107,T107)&gt;=Parametros!$B$15,ABS(N(U107))&gt;Parametros!$B$14),"SÍ","")</f>
        <v>SÍ</v>
      </c>
      <c r="Z107" s="3" t="n">
        <f aca="false">COUNTIF(V107:Y107,"SÍ")</f>
        <v>1</v>
      </c>
      <c r="AA107" s="3" t="n">
        <f aca="false">(3*(V107="SÍ")+2*(W107="SÍ")+2*(X107="SÍ")+(Y107="SÍ"))*IF(LEFT(D107,1)="A",3,IF(OR(LEFT(D107,1)="B",D107="SIN HIST"),2,1))</f>
        <v>1</v>
      </c>
      <c r="AB107" s="3" t="str">
        <f aca="false">IF(AA107&gt;=9,"1-ALTA",IF(AA107&gt;=4,"2-MEDIA",IF(AA107&gt;0,"3-BAJA","")))</f>
        <v>3-BAJA</v>
      </c>
      <c r="AC107" s="3" t="str">
        <f aca="false">IF(E107="BAJO SS","Stock + XLIB bajo el SS: riesgo real de quiebre, adelantar producción. ","")&amp;IF(E107="BAJO SS (XLIB CUBRE)","Disponible bajo el SS; depende de liberar "&amp;TEXT(J107,"#,##0")&amp;" kg"&amp;IF(ISNUMBER(K107)," el "&amp;TEXT(K107,"dd-mm"),"")&amp;". ","")&amp;IF(W107="SÍ","Stock parece sano pero "&amp;TEXT(L107,"#,##0")&amp;" kg no pasan filtro "&amp;Stock_Seguridad!O107&amp;": sin ellos queda bajo el SS para esa cadena. ","")&amp;IF(E107="SOBRE MAX VENDIBLE","Sobrestock vs vida útil: frenar producción/activar venta. ","")&amp;IF(N(N107)&gt;=Parametros!$B$17,TEXT(N107,"#,##0")&amp;" kg ya no los acepta ninguna cadena: venta intermedia/liquidación. ","")&amp;IF(N(M107)&gt;=Parametros!$B$17,TEXT(M107,"#,##0")&amp;" kg a punto de salir del filtro: despachar primero (FEFO). ","")&amp;IF(Y107="SÍ","Pedidos "&amp;IF(N(U107)&gt;0,"sobre","bajo")&amp;" FCST "&amp;TEXT(ABS(N(U107)),"0%")&amp;": revisar forecast con KAM.","")</f>
        <v>Pedidos bajo FCST 41%: revisar forecast con KAM.</v>
      </c>
    </row>
    <row r="108" customFormat="false" ht="15" hidden="false" customHeight="false" outlineLevel="0" collapsed="false">
      <c r="A108" s="18" t="n">
        <f aca="false">Stock_Seguridad!A108</f>
        <v>30000479</v>
      </c>
      <c r="B108" s="18" t="str">
        <f aca="false">Stock_Seguridad!B108</f>
        <v>LECHE CHOCO AVELLANAS LONCO 12X1LT</v>
      </c>
      <c r="C108" s="18" t="str">
        <f aca="false">Stock_Seguridad!C108</f>
        <v>LECHES LIQUIDAS</v>
      </c>
      <c r="D108" s="18" t="str">
        <f aca="false">Stock_Seguridad!F108</f>
        <v>CY</v>
      </c>
      <c r="E108" s="19" t="str">
        <f aca="false">Stock_Seguridad!X108</f>
        <v>OK</v>
      </c>
      <c r="F108" s="20" t="n">
        <f aca="false">Stock_Seguridad!W108</f>
        <v>9.01365705614568</v>
      </c>
      <c r="G108" s="21" t="n">
        <f aca="false">Stock_Seguridad!T108</f>
        <v>5940</v>
      </c>
      <c r="H108" s="21" t="n">
        <f aca="false">Stock_Seguridad!R108</f>
        <v>1280.73201410513</v>
      </c>
      <c r="I108" s="21" t="n">
        <f aca="false">Stock_Seguridad!S108</f>
        <v>1939.73201410513</v>
      </c>
      <c r="J108" s="21" t="n">
        <f aca="false">Stock_Seguridad!U108</f>
        <v>0</v>
      </c>
      <c r="K108" s="22"/>
      <c r="L108" s="23" t="n">
        <v>0</v>
      </c>
      <c r="M108" s="23" t="n">
        <v>0</v>
      </c>
      <c r="N108" s="23" t="n">
        <v>0</v>
      </c>
      <c r="O108" s="24" t="n">
        <v>0.19</v>
      </c>
      <c r="P108" s="24" t="n">
        <f aca="false">IF(ISNUMBER(Stock_Seguridad!N108),Stock_Seguridad!N108,"")</f>
        <v>0.256</v>
      </c>
      <c r="Q108" s="24" t="n">
        <f aca="false">IF(AND(ISNUMBER(O108),ISNUMBER(P108)),P108-O108,"")</f>
        <v>0.066</v>
      </c>
      <c r="R108" s="23" t="n">
        <f aca="false">MAX(0,G108-N(L108))</f>
        <v>5940</v>
      </c>
      <c r="S108" s="23" t="n">
        <f aca="false">SUMIFS(Cadenas_vs_FCST!$D$17:$D$652,Cadenas_vs_FCST!$A$17:$A$652,A108)</f>
        <v>4476</v>
      </c>
      <c r="T108" s="23" t="n">
        <f aca="false">SUMIFS(Cadenas_vs_FCST!$E$17:$E$652,Cadenas_vs_FCST!$A$17:$A$652,A108)</f>
        <v>3033.51971519507</v>
      </c>
      <c r="U108" s="24" t="n">
        <f aca="false">IF(T108&gt;0,S108/T108-1,"")</f>
        <v>0.475513733297813</v>
      </c>
      <c r="V108" s="3" t="str">
        <f aca="false">IF(OR(E108="BAJO SS",E108="BAJO SS (XLIB CUBRE)"),"SÍ","")</f>
        <v/>
      </c>
      <c r="W108" s="3" t="str">
        <f aca="false">IF(AND(V108="",N(L108)&gt;=Parametros!$B$17,G108&gt;=H108,R108&lt;H108),"SÍ","")</f>
        <v/>
      </c>
      <c r="X108" s="3" t="str">
        <f aca="false">IF(OR(E108="SOBRE MAX VENDIBLE",N(N108)&gt;=Parametros!$B$17,N(M108)&gt;=Parametros!$B$17),"SÍ","")</f>
        <v/>
      </c>
      <c r="Y108" s="3" t="str">
        <f aca="false">IF(AND(ISNUMBER(U108),MAX(S108,T108)&gt;=Parametros!$B$15,ABS(N(U108))&gt;Parametros!$B$14),"SÍ","")</f>
        <v>SÍ</v>
      </c>
      <c r="Z108" s="3" t="n">
        <f aca="false">COUNTIF(V108:Y108,"SÍ")</f>
        <v>1</v>
      </c>
      <c r="AA108" s="3" t="n">
        <f aca="false">(3*(V108="SÍ")+2*(W108="SÍ")+2*(X108="SÍ")+(Y108="SÍ"))*IF(LEFT(D108,1)="A",3,IF(OR(LEFT(D108,1)="B",D108="SIN HIST"),2,1))</f>
        <v>1</v>
      </c>
      <c r="AB108" s="3" t="str">
        <f aca="false">IF(AA108&gt;=9,"1-ALTA",IF(AA108&gt;=4,"2-MEDIA",IF(AA108&gt;0,"3-BAJA","")))</f>
        <v>3-BAJA</v>
      </c>
      <c r="AC108" s="3" t="str">
        <f aca="false">IF(E108="BAJO SS","Stock + XLIB bajo el SS: riesgo real de quiebre, adelantar producción. ","")&amp;IF(E108="BAJO SS (XLIB CUBRE)","Disponible bajo el SS; depende de liberar "&amp;TEXT(J108,"#,##0")&amp;" kg"&amp;IF(ISNUMBER(K108)," el "&amp;TEXT(K108,"dd-mm"),"")&amp;". ","")&amp;IF(W108="SÍ","Stock parece sano pero "&amp;TEXT(L108,"#,##0")&amp;" kg no pasan filtro "&amp;Stock_Seguridad!O108&amp;": sin ellos queda bajo el SS para esa cadena. ","")&amp;IF(E108="SOBRE MAX VENDIBLE","Sobrestock vs vida útil: frenar producción/activar venta. ","")&amp;IF(N(N108)&gt;=Parametros!$B$17,TEXT(N108,"#,##0")&amp;" kg ya no los acepta ninguna cadena: venta intermedia/liquidación. ","")&amp;IF(N(M108)&gt;=Parametros!$B$17,TEXT(M108,"#,##0")&amp;" kg a punto de salir del filtro: despachar primero (FEFO). ","")&amp;IF(Y108="SÍ","Pedidos "&amp;IF(N(U108)&gt;0,"sobre","bajo")&amp;" FCST "&amp;TEXT(ABS(N(U108)),"0%")&amp;": revisar forecast con KAM.","")</f>
        <v>Pedidos sobre FCST 48%: revisar forecast con KAM.</v>
      </c>
    </row>
    <row r="109" customFormat="false" ht="15" hidden="false" customHeight="false" outlineLevel="0" collapsed="false">
      <c r="A109" s="18" t="n">
        <f aca="false">Stock_Seguridad!A109</f>
        <v>30002285</v>
      </c>
      <c r="B109" s="18" t="str">
        <f aca="false">Stock_Seguridad!B109</f>
        <v>LECHE LONCO ENTERA 5X6X200ML</v>
      </c>
      <c r="C109" s="18" t="str">
        <f aca="false">Stock_Seguridad!C109</f>
        <v>LECHES LIQUIDAS</v>
      </c>
      <c r="D109" s="18" t="str">
        <f aca="false">Stock_Seguridad!F109</f>
        <v>CY</v>
      </c>
      <c r="E109" s="19" t="str">
        <f aca="false">Stock_Seguridad!X109</f>
        <v>SOBRE MAX VENDIBLE</v>
      </c>
      <c r="F109" s="20" t="n">
        <f aca="false">Stock_Seguridad!W109</f>
        <v>17.0120724346076</v>
      </c>
      <c r="G109" s="21" t="n">
        <f aca="false">Stock_Seguridad!T109</f>
        <v>10146</v>
      </c>
      <c r="H109" s="21" t="n">
        <f aca="false">Stock_Seguridad!R109</f>
        <v>514.232552847852</v>
      </c>
      <c r="I109" s="21" t="n">
        <f aca="false">Stock_Seguridad!S109</f>
        <v>1110.63255284785</v>
      </c>
      <c r="J109" s="21" t="n">
        <f aca="false">Stock_Seguridad!U109</f>
        <v>0</v>
      </c>
      <c r="K109" s="22"/>
      <c r="L109" s="23" t="n">
        <v>1188</v>
      </c>
      <c r="M109" s="23" t="n">
        <v>0</v>
      </c>
      <c r="N109" s="23" t="n">
        <v>198</v>
      </c>
      <c r="O109" s="24" t="n">
        <v>0.194198698994678</v>
      </c>
      <c r="P109" s="24" t="n">
        <f aca="false">IF(ISNUMBER(Stock_Seguridad!N109),Stock_Seguridad!N109,"")</f>
        <v>0.27</v>
      </c>
      <c r="Q109" s="24" t="n">
        <f aca="false">IF(AND(ISNUMBER(O109),ISNUMBER(P109)),P109-O109,"")</f>
        <v>0.0758013010053223</v>
      </c>
      <c r="R109" s="23" t="n">
        <f aca="false">MAX(0,G109-N(L109))</f>
        <v>8958</v>
      </c>
      <c r="S109" s="23" t="n">
        <f aca="false">SUMIFS(Cadenas_vs_FCST!$D$17:$D$652,Cadenas_vs_FCST!$A$17:$A$652,A109)</f>
        <v>3660</v>
      </c>
      <c r="T109" s="23" t="n">
        <f aca="false">SUMIFS(Cadenas_vs_FCST!$E$17:$E$652,Cadenas_vs_FCST!$A$17:$A$652,A109)</f>
        <v>4818.79834636501</v>
      </c>
      <c r="U109" s="24" t="n">
        <f aca="false">IF(T109&gt;0,S109/T109-1,"")</f>
        <v>-0.240474546364683</v>
      </c>
      <c r="V109" s="3" t="str">
        <f aca="false">IF(OR(E109="BAJO SS",E109="BAJO SS (XLIB CUBRE)"),"SÍ","")</f>
        <v/>
      </c>
      <c r="W109" s="3" t="str">
        <f aca="false">IF(AND(V109="",N(L109)&gt;=Parametros!$B$17,G109&gt;=H109,R109&lt;H109),"SÍ","")</f>
        <v/>
      </c>
      <c r="X109" s="3" t="str">
        <f aca="false">IF(OR(E109="SOBRE MAX VENDIBLE",N(N109)&gt;=Parametros!$B$17,N(M109)&gt;=Parametros!$B$17),"SÍ","")</f>
        <v>SÍ</v>
      </c>
      <c r="Y109" s="3" t="str">
        <f aca="false">IF(AND(ISNUMBER(U109),MAX(S109,T109)&gt;=Parametros!$B$15,ABS(N(U109))&gt;Parametros!$B$14),"SÍ","")</f>
        <v>SÍ</v>
      </c>
      <c r="Z109" s="3" t="n">
        <f aca="false">COUNTIF(V109:Y109,"SÍ")</f>
        <v>2</v>
      </c>
      <c r="AA109" s="3" t="n">
        <f aca="false">(3*(V109="SÍ")+2*(W109="SÍ")+2*(X109="SÍ")+(Y109="SÍ"))*IF(LEFT(D109,1)="A",3,IF(OR(LEFT(D109,1)="B",D109="SIN HIST"),2,1))</f>
        <v>3</v>
      </c>
      <c r="AB109" s="3" t="str">
        <f aca="false">IF(AA109&gt;=9,"1-ALTA",IF(AA109&gt;=4,"2-MEDIA",IF(AA109&gt;0,"3-BAJA","")))</f>
        <v>3-BAJA</v>
      </c>
      <c r="AC109" s="3" t="str">
        <f aca="false">IF(E109="BAJO SS","Stock + XLIB bajo el SS: riesgo real de quiebre, adelantar producción. ","")&amp;IF(E109="BAJO SS (XLIB CUBRE)","Disponible bajo el SS; depende de liberar "&amp;TEXT(J109,"#,##0")&amp;" kg"&amp;IF(ISNUMBER(K109)," el "&amp;TEXT(K109,"dd-mm"),"")&amp;". ","")&amp;IF(W109="SÍ","Stock parece sano pero "&amp;TEXT(L109,"#,##0")&amp;" kg no pasan filtro "&amp;Stock_Seguridad!O109&amp;": sin ellos queda bajo el SS para esa cadena. ","")&amp;IF(E109="SOBRE MAX VENDIBLE","Sobrestock vs vida útil: frenar producción/activar venta. ","")&amp;IF(N(N109)&gt;=Parametros!$B$17,TEXT(N109,"#,##0")&amp;" kg ya no los acepta ninguna cadena: venta intermedia/liquidación. ","")&amp;IF(N(M109)&gt;=Parametros!$B$17,TEXT(M109,"#,##0")&amp;" kg a punto de salir del filtro: despachar primero (FEFO). ","")&amp;IF(Y109="SÍ","Pedidos "&amp;IF(N(U109)&gt;0,"sobre","bajo")&amp;" FCST "&amp;TEXT(ABS(N(U109)),"0%")&amp;": revisar forecast con KAM.","")</f>
        <v>Sobrestock vs vida útil: frenar producción/activar venta. Pedidos bajo FCST 24%: revisar forecast con KAM.</v>
      </c>
    </row>
    <row r="110" customFormat="false" ht="15" hidden="false" customHeight="false" outlineLevel="0" collapsed="false">
      <c r="A110" s="18" t="n">
        <f aca="false">Stock_Seguridad!A110</f>
        <v>30002282</v>
      </c>
      <c r="B110" s="18" t="str">
        <f aca="false">Stock_Seguridad!B110</f>
        <v>LECHE LONCO SEMI DESCR 5X6X200ML</v>
      </c>
      <c r="C110" s="18" t="str">
        <f aca="false">Stock_Seguridad!C110</f>
        <v>LECHES LIQUIDAS</v>
      </c>
      <c r="D110" s="18" t="str">
        <f aca="false">Stock_Seguridad!F110</f>
        <v>CX</v>
      </c>
      <c r="E110" s="19" t="str">
        <f aca="false">Stock_Seguridad!X110</f>
        <v>SOBRE MAX VENDIBLE</v>
      </c>
      <c r="F110" s="20" t="n">
        <f aca="false">Stock_Seguridad!W110</f>
        <v>12.4670928920647</v>
      </c>
      <c r="G110" s="21" t="n">
        <f aca="false">Stock_Seguridad!T110</f>
        <v>6630</v>
      </c>
      <c r="H110" s="21" t="n">
        <f aca="false">Stock_Seguridad!R110</f>
        <v>651.458424719999</v>
      </c>
      <c r="I110" s="21" t="n">
        <f aca="false">Stock_Seguridad!S110</f>
        <v>1183.25842472</v>
      </c>
      <c r="J110" s="21" t="n">
        <f aca="false">Stock_Seguridad!U110</f>
        <v>0</v>
      </c>
      <c r="K110" s="22"/>
      <c r="L110" s="23" t="n">
        <v>6630</v>
      </c>
      <c r="M110" s="23" t="n">
        <v>0</v>
      </c>
      <c r="N110" s="23" t="n">
        <v>174</v>
      </c>
      <c r="O110" s="24" t="n">
        <v>0.34406334841629</v>
      </c>
      <c r="P110" s="24" t="n">
        <f aca="false">IF(ISNUMBER(Stock_Seguridad!N110),Stock_Seguridad!N110,"")</f>
        <v>0.27</v>
      </c>
      <c r="Q110" s="24" t="n">
        <f aca="false">IF(AND(ISNUMBER(O110),ISNUMBER(P110)),P110-O110,"")</f>
        <v>-0.0740633484162897</v>
      </c>
      <c r="R110" s="23" t="n">
        <f aca="false">MAX(0,G110-N(L110))</f>
        <v>0</v>
      </c>
      <c r="S110" s="23" t="n">
        <f aca="false">SUMIFS(Cadenas_vs_FCST!$D$17:$D$652,Cadenas_vs_FCST!$A$17:$A$652,A110)</f>
        <v>2820</v>
      </c>
      <c r="T110" s="23" t="n">
        <f aca="false">SUMIFS(Cadenas_vs_FCST!$E$17:$E$652,Cadenas_vs_FCST!$A$17:$A$652,A110)</f>
        <v>3328.92808373585</v>
      </c>
      <c r="U110" s="24" t="n">
        <f aca="false">IF(T110&gt;0,S110/T110-1,"")</f>
        <v>-0.152880468106933</v>
      </c>
      <c r="V110" s="3" t="str">
        <f aca="false">IF(OR(E110="BAJO SS",E110="BAJO SS (XLIB CUBRE)"),"SÍ","")</f>
        <v/>
      </c>
      <c r="W110" s="3" t="str">
        <f aca="false">IF(AND(V110="",N(L110)&gt;=Parametros!$B$17,G110&gt;=H110,R110&lt;H110),"SÍ","")</f>
        <v>SÍ</v>
      </c>
      <c r="X110" s="3" t="str">
        <f aca="false">IF(OR(E110="SOBRE MAX VENDIBLE",N(N110)&gt;=Parametros!$B$17,N(M110)&gt;=Parametros!$B$17),"SÍ","")</f>
        <v>SÍ</v>
      </c>
      <c r="Y110" s="3" t="str">
        <f aca="false">IF(AND(ISNUMBER(U110),MAX(S110,T110)&gt;=Parametros!$B$15,ABS(N(U110))&gt;Parametros!$B$14),"SÍ","")</f>
        <v/>
      </c>
      <c r="Z110" s="3" t="n">
        <f aca="false">COUNTIF(V110:Y110,"SÍ")</f>
        <v>2</v>
      </c>
      <c r="AA110" s="3" t="n">
        <f aca="false">(3*(V110="SÍ")+2*(W110="SÍ")+2*(X110="SÍ")+(Y110="SÍ"))*IF(LEFT(D110,1)="A",3,IF(OR(LEFT(D110,1)="B",D110="SIN HIST"),2,1))</f>
        <v>4</v>
      </c>
      <c r="AB110" s="3" t="str">
        <f aca="false">IF(AA110&gt;=9,"1-ALTA",IF(AA110&gt;=4,"2-MEDIA",IF(AA110&gt;0,"3-BAJA","")))</f>
        <v>2-MEDIA</v>
      </c>
      <c r="AC110" s="3" t="str">
        <f aca="false">IF(E110="BAJO SS","Stock + XLIB bajo el SS: riesgo real de quiebre, adelantar producción. ","")&amp;IF(E110="BAJO SS (XLIB CUBRE)","Disponible bajo el SS; depende de liberar "&amp;TEXT(J110,"#,##0")&amp;" kg"&amp;IF(ISNUMBER(K110)," el "&amp;TEXT(K110,"dd-mm"),"")&amp;". ","")&amp;IF(W110="SÍ","Stock parece sano pero "&amp;TEXT(L110,"#,##0")&amp;" kg no pasan filtro "&amp;Stock_Seguridad!O110&amp;": sin ellos queda bajo el SS para esa cadena. ","")&amp;IF(E110="SOBRE MAX VENDIBLE","Sobrestock vs vida útil: frenar producción/activar venta. ","")&amp;IF(N(N110)&gt;=Parametros!$B$17,TEXT(N110,"#,##0")&amp;" kg ya no los acepta ninguna cadena: venta intermedia/liquidación. ","")&amp;IF(N(M110)&gt;=Parametros!$B$17,TEXT(M110,"#,##0")&amp;" kg a punto de salir del filtro: despachar primero (FEFO). ","")&amp;IF(Y110="SÍ","Pedidos "&amp;IF(N(U110)&gt;0,"sobre","bajo")&amp;" FCST "&amp;TEXT(ABS(N(U110)),"0%")&amp;": revisar forecast con KAM.","")</f>
        <v>Stock parece sano pero 6,630 kg no pasan filtro CENCOSUD CENTRAL: sin ellos queda bajo el SS para esa cadena. Sobrestock vs vida útil: frenar producción/activar venta. </v>
      </c>
    </row>
    <row r="111" customFormat="false" ht="15" hidden="false" customHeight="false" outlineLevel="0" collapsed="false">
      <c r="A111" s="18" t="n">
        <f aca="false">Stock_Seguridad!A111</f>
        <v>30001411</v>
      </c>
      <c r="B111" s="18" t="str">
        <f aca="false">Stock_Seguridad!B111</f>
        <v>LECHE LONCO PROTEIN CAPPUCCINO 18X200ML</v>
      </c>
      <c r="C111" s="18" t="str">
        <f aca="false">Stock_Seguridad!C111</f>
        <v>LECHES LIQUIDAS</v>
      </c>
      <c r="D111" s="18" t="str">
        <f aca="false">Stock_Seguridad!F111</f>
        <v>CZ</v>
      </c>
      <c r="E111" s="19" t="str">
        <f aca="false">Stock_Seguridad!X111</f>
        <v>BAJO SS</v>
      </c>
      <c r="F111" s="20" t="n">
        <f aca="false">Stock_Seguridad!W111</f>
        <v>0</v>
      </c>
      <c r="G111" s="21" t="n">
        <f aca="false">Stock_Seguridad!T111</f>
        <v>0</v>
      </c>
      <c r="H111" s="21" t="n">
        <f aca="false">Stock_Seguridad!R111</f>
        <v>505.426304331445</v>
      </c>
      <c r="I111" s="21" t="n">
        <f aca="false">Stock_Seguridad!S111</f>
        <v>913.326304331445</v>
      </c>
      <c r="J111" s="21" t="n">
        <f aca="false">Stock_Seguridad!U111</f>
        <v>0</v>
      </c>
      <c r="K111" s="22"/>
      <c r="L111" s="23"/>
      <c r="M111" s="23"/>
      <c r="N111" s="23"/>
      <c r="O111" s="24"/>
      <c r="P111" s="24" t="n">
        <f aca="false">IF(ISNUMBER(Stock_Seguridad!N111),Stock_Seguridad!N111,"")</f>
        <v>0.21875</v>
      </c>
      <c r="Q111" s="24" t="str">
        <f aca="false">IF(AND(ISNUMBER(O111),ISNUMBER(P111)),P111-O111,"")</f>
        <v/>
      </c>
      <c r="R111" s="23" t="n">
        <f aca="false">MAX(0,G111-N(L111))</f>
        <v>0</v>
      </c>
      <c r="S111" s="23" t="n">
        <f aca="false">SUMIFS(Cadenas_vs_FCST!$D$17:$D$652,Cadenas_vs_FCST!$A$17:$A$652,A111)</f>
        <v>3.6</v>
      </c>
      <c r="T111" s="23" t="n">
        <f aca="false">SUMIFS(Cadenas_vs_FCST!$E$17:$E$652,Cadenas_vs_FCST!$A$17:$A$652,A111)</f>
        <v>965.443564002189</v>
      </c>
      <c r="U111" s="24" t="n">
        <f aca="false">IF(T111&gt;0,S111/T111-1,"")</f>
        <v>-0.996271144027232</v>
      </c>
      <c r="V111" s="3" t="str">
        <f aca="false">IF(OR(E111="BAJO SS",E111="BAJO SS (XLIB CUBRE)"),"SÍ","")</f>
        <v>SÍ</v>
      </c>
      <c r="W111" s="3" t="str">
        <f aca="false">IF(AND(V111="",N(L111)&gt;=Parametros!$B$17,G111&gt;=H111,R111&lt;H111),"SÍ","")</f>
        <v/>
      </c>
      <c r="X111" s="3" t="str">
        <f aca="false">IF(OR(E111="SOBRE MAX VENDIBLE",N(N111)&gt;=Parametros!$B$17,N(M111)&gt;=Parametros!$B$17),"SÍ","")</f>
        <v/>
      </c>
      <c r="Y111" s="3" t="str">
        <f aca="false">IF(AND(ISNUMBER(U111),MAX(S111,T111)&gt;=Parametros!$B$15,ABS(N(U111))&gt;Parametros!$B$14),"SÍ","")</f>
        <v/>
      </c>
      <c r="Z111" s="3" t="n">
        <f aca="false">COUNTIF(V111:Y111,"SÍ")</f>
        <v>1</v>
      </c>
      <c r="AA111" s="3" t="n">
        <f aca="false">(3*(V111="SÍ")+2*(W111="SÍ")+2*(X111="SÍ")+(Y111="SÍ"))*IF(LEFT(D111,1)="A",3,IF(OR(LEFT(D111,1)="B",D111="SIN HIST"),2,1))</f>
        <v>3</v>
      </c>
      <c r="AB111" s="3" t="str">
        <f aca="false">IF(AA111&gt;=9,"1-ALTA",IF(AA111&gt;=4,"2-MEDIA",IF(AA111&gt;0,"3-BAJA","")))</f>
        <v>3-BAJA</v>
      </c>
      <c r="AC111" s="3" t="str">
        <f aca="false">IF(E111="BAJO SS","Stock + XLIB bajo el SS: riesgo real de quiebre, adelantar producción. ","")&amp;IF(E111="BAJO SS (XLIB CUBRE)","Disponible bajo el SS; depende de liberar "&amp;TEXT(J111,"#,##0")&amp;" kg"&amp;IF(ISNUMBER(K111)," el "&amp;TEXT(K111,"dd-mm"),"")&amp;". ","")&amp;IF(W111="SÍ","Stock parece sano pero "&amp;TEXT(L111,"#,##0")&amp;" kg no pasan filtro "&amp;Stock_Seguridad!O111&amp;": sin ellos queda bajo el SS para esa cadena. ","")&amp;IF(E111="SOBRE MAX VENDIBLE","Sobrestock vs vida útil: frenar producción/activar venta. ","")&amp;IF(N(N111)&gt;=Parametros!$B$17,TEXT(N111,"#,##0")&amp;" kg ya no los acepta ninguna cadena: venta intermedia/liquidación. ","")&amp;IF(N(M111)&gt;=Parametros!$B$17,TEXT(M111,"#,##0")&amp;" kg a punto de salir del filtro: despachar primero (FEFO). ","")&amp;IF(Y111="SÍ","Pedidos "&amp;IF(N(U111)&gt;0,"sobre","bajo")&amp;" FCST "&amp;TEXT(ABS(N(U111)),"0%")&amp;": revisar forecast con KAM.","")</f>
        <v>Stock + XLIB bajo el SS: riesgo real de quiebre, adelantar producción. </v>
      </c>
    </row>
    <row r="112" customFormat="false" ht="15" hidden="false" customHeight="false" outlineLevel="0" collapsed="false">
      <c r="A112" s="18" t="n">
        <f aca="false">Stock_Seguridad!A112</f>
        <v>30002284</v>
      </c>
      <c r="B112" s="18" t="str">
        <f aca="false">Stock_Seguridad!B112</f>
        <v>MANJAR EN BARRA LONCOLECHE 120X35GR</v>
      </c>
      <c r="C112" s="18" t="str">
        <f aca="false">Stock_Seguridad!C112</f>
        <v>MANJAR</v>
      </c>
      <c r="D112" s="18" t="str">
        <f aca="false">Stock_Seguridad!F112</f>
        <v>CY</v>
      </c>
      <c r="E112" s="19" t="str">
        <f aca="false">Stock_Seguridad!X112</f>
        <v>OK</v>
      </c>
      <c r="F112" s="20" t="n">
        <f aca="false">Stock_Seguridad!W112</f>
        <v>8.35227272727273</v>
      </c>
      <c r="G112" s="21" t="n">
        <f aca="false">Stock_Seguridad!T112</f>
        <v>1617</v>
      </c>
      <c r="H112" s="21" t="n">
        <f aca="false">Stock_Seguridad!R112</f>
        <v>383.153580065697</v>
      </c>
      <c r="I112" s="21" t="n">
        <f aca="false">Stock_Seguridad!S112</f>
        <v>576.753580065697</v>
      </c>
      <c r="J112" s="21" t="n">
        <f aca="false">Stock_Seguridad!U112</f>
        <v>0</v>
      </c>
      <c r="K112" s="22"/>
      <c r="L112" s="23" t="n">
        <v>0</v>
      </c>
      <c r="M112" s="23" t="n">
        <v>0</v>
      </c>
      <c r="N112" s="23" t="n">
        <v>0</v>
      </c>
      <c r="O112" s="24" t="n">
        <v>0.111818181818182</v>
      </c>
      <c r="P112" s="24" t="str">
        <f aca="false">IF(ISNUMBER(Stock_Seguridad!N112),Stock_Seguridad!N112,"")</f>
        <v/>
      </c>
      <c r="Q112" s="24" t="str">
        <f aca="false">IF(AND(ISNUMBER(O112),ISNUMBER(P112)),P112-O112,"")</f>
        <v/>
      </c>
      <c r="R112" s="23" t="n">
        <f aca="false">MAX(0,G112-N(L112))</f>
        <v>1617</v>
      </c>
      <c r="S112" s="23" t="n">
        <f aca="false">SUMIFS(Cadenas_vs_FCST!$D$17:$D$652,Cadenas_vs_FCST!$A$17:$A$652,A112)</f>
        <v>785.4</v>
      </c>
      <c r="T112" s="23" t="n">
        <f aca="false">SUMIFS(Cadenas_vs_FCST!$E$17:$E$652,Cadenas_vs_FCST!$A$17:$A$652,A112)</f>
        <v>1254.795</v>
      </c>
      <c r="U112" s="24" t="n">
        <f aca="false">IF(T112&gt;0,S112/T112-1,"")</f>
        <v>-0.374081025187381</v>
      </c>
      <c r="V112" s="3" t="str">
        <f aca="false">IF(OR(E112="BAJO SS",E112="BAJO SS (XLIB CUBRE)"),"SÍ","")</f>
        <v/>
      </c>
      <c r="W112" s="3" t="str">
        <f aca="false">IF(AND(V112="",N(L112)&gt;=Parametros!$B$17,G112&gt;=H112,R112&lt;H112),"SÍ","")</f>
        <v/>
      </c>
      <c r="X112" s="3" t="str">
        <f aca="false">IF(OR(E112="SOBRE MAX VENDIBLE",N(N112)&gt;=Parametros!$B$17,N(M112)&gt;=Parametros!$B$17),"SÍ","")</f>
        <v/>
      </c>
      <c r="Y112" s="3" t="str">
        <f aca="false">IF(AND(ISNUMBER(U112),MAX(S112,T112)&gt;=Parametros!$B$15,ABS(N(U112))&gt;Parametros!$B$14),"SÍ","")</f>
        <v/>
      </c>
      <c r="Z112" s="3" t="n">
        <f aca="false">COUNTIF(V112:Y112,"SÍ")</f>
        <v>0</v>
      </c>
      <c r="AA112" s="3" t="n">
        <f aca="false">(3*(V112="SÍ")+2*(W112="SÍ")+2*(X112="SÍ")+(Y112="SÍ"))*IF(LEFT(D112,1)="A",3,IF(OR(LEFT(D112,1)="B",D112="SIN HIST"),2,1))</f>
        <v>0</v>
      </c>
      <c r="AB112" s="3" t="str">
        <f aca="false">IF(AA112&gt;=9,"1-ALTA",IF(AA112&gt;=4,"2-MEDIA",IF(AA112&gt;0,"3-BAJA","")))</f>
        <v/>
      </c>
      <c r="AC112" s="3" t="str">
        <f aca="false">IF(E112="BAJO SS","Stock + XLIB bajo el SS: riesgo real de quiebre, adelantar producción. ","")&amp;IF(E112="BAJO SS (XLIB CUBRE)","Disponible bajo el SS; depende de liberar "&amp;TEXT(J112,"#,##0")&amp;" kg"&amp;IF(ISNUMBER(K112)," el "&amp;TEXT(K112,"dd-mm"),"")&amp;". ","")&amp;IF(W112="SÍ","Stock parece sano pero "&amp;TEXT(L112,"#,##0")&amp;" kg no pasan filtro "&amp;Stock_Seguridad!O112&amp;": sin ellos queda bajo el SS para esa cadena. ","")&amp;IF(E112="SOBRE MAX VENDIBLE","Sobrestock vs vida útil: frenar producción/activar venta. ","")&amp;IF(N(N112)&gt;=Parametros!$B$17,TEXT(N112,"#,##0")&amp;" kg ya no los acepta ninguna cadena: venta intermedia/liquidación. ","")&amp;IF(N(M112)&gt;=Parametros!$B$17,TEXT(M112,"#,##0")&amp;" kg a punto de salir del filtro: despachar primero (FEFO). ","")&amp;IF(Y112="SÍ","Pedidos "&amp;IF(N(U112)&gt;0,"sobre","bajo")&amp;" FCST "&amp;TEXT(ABS(N(U112)),"0%")&amp;": revisar forecast con KAM.","")</f>
        <v/>
      </c>
    </row>
    <row r="113" customFormat="false" ht="15" hidden="false" customHeight="false" outlineLevel="0" collapsed="false">
      <c r="A113" s="18" t="n">
        <f aca="false">Stock_Seguridad!A113</f>
        <v>30001412</v>
      </c>
      <c r="B113" s="18" t="str">
        <f aca="false">Stock_Seguridad!B113</f>
        <v>LECHE LONCO PROTEIN CHOCOLATE 18X200ML</v>
      </c>
      <c r="C113" s="18" t="str">
        <f aca="false">Stock_Seguridad!C113</f>
        <v>LECHES LIQUIDAS</v>
      </c>
      <c r="D113" s="18" t="str">
        <f aca="false">Stock_Seguridad!F113</f>
        <v>CZ</v>
      </c>
      <c r="E113" s="19" t="str">
        <f aca="false">Stock_Seguridad!X113</f>
        <v>SOBRE MAX VENDIBLE</v>
      </c>
      <c r="F113" s="20" t="n">
        <f aca="false">Stock_Seguridad!W113</f>
        <v>19.3112582781457</v>
      </c>
      <c r="G113" s="21" t="n">
        <f aca="false">Stock_Seguridad!T113</f>
        <v>291.6</v>
      </c>
      <c r="H113" s="21" t="n">
        <f aca="false">Stock_Seguridad!R113</f>
        <v>71.1857142857143</v>
      </c>
      <c r="I113" s="21" t="n">
        <f aca="false">Stock_Seguridad!S113</f>
        <v>86.2857142857143</v>
      </c>
      <c r="J113" s="21" t="n">
        <f aca="false">Stock_Seguridad!U113</f>
        <v>0</v>
      </c>
      <c r="K113" s="22"/>
      <c r="L113" s="23" t="n">
        <v>291.6</v>
      </c>
      <c r="M113" s="23" t="n">
        <v>0</v>
      </c>
      <c r="N113" s="23" t="n">
        <v>291.6</v>
      </c>
      <c r="O113" s="24" t="n">
        <v>0.66</v>
      </c>
      <c r="P113" s="24" t="n">
        <f aca="false">IF(ISNUMBER(Stock_Seguridad!N113),Stock_Seguridad!N113,"")</f>
        <v>0.211640211640212</v>
      </c>
      <c r="Q113" s="24" t="n">
        <f aca="false">IF(AND(ISNUMBER(O113),ISNUMBER(P113)),P113-O113,"")</f>
        <v>-0.448359788359788</v>
      </c>
      <c r="R113" s="23" t="n">
        <f aca="false">MAX(0,G113-N(L113))</f>
        <v>0</v>
      </c>
      <c r="S113" s="23" t="n">
        <f aca="false">SUMIFS(Cadenas_vs_FCST!$D$17:$D$652,Cadenas_vs_FCST!$A$17:$A$652,A113)</f>
        <v>3.6</v>
      </c>
      <c r="T113" s="23" t="n">
        <f aca="false">SUMIFS(Cadenas_vs_FCST!$E$17:$E$652,Cadenas_vs_FCST!$A$17:$A$652,A113)</f>
        <v>101.348582240631</v>
      </c>
      <c r="U113" s="24" t="n">
        <f aca="false">IF(T113&gt;0,S113/T113-1,"")</f>
        <v>-0.964479029499865</v>
      </c>
      <c r="V113" s="3" t="str">
        <f aca="false">IF(OR(E113="BAJO SS",E113="BAJO SS (XLIB CUBRE)"),"SÍ","")</f>
        <v/>
      </c>
      <c r="W113" s="3" t="str">
        <f aca="false">IF(AND(V113="",N(L113)&gt;=Parametros!$B$17,G113&gt;=H113,R113&lt;H113),"SÍ","")</f>
        <v/>
      </c>
      <c r="X113" s="3" t="str">
        <f aca="false">IF(OR(E113="SOBRE MAX VENDIBLE",N(N113)&gt;=Parametros!$B$17,N(M113)&gt;=Parametros!$B$17),"SÍ","")</f>
        <v>SÍ</v>
      </c>
      <c r="Y113" s="3" t="str">
        <f aca="false">IF(AND(ISNUMBER(U113),MAX(S113,T113)&gt;=Parametros!$B$15,ABS(N(U113))&gt;Parametros!$B$14),"SÍ","")</f>
        <v/>
      </c>
      <c r="Z113" s="3" t="n">
        <f aca="false">COUNTIF(V113:Y113,"SÍ")</f>
        <v>1</v>
      </c>
      <c r="AA113" s="3" t="n">
        <f aca="false">(3*(V113="SÍ")+2*(W113="SÍ")+2*(X113="SÍ")+(Y113="SÍ"))*IF(LEFT(D113,1)="A",3,IF(OR(LEFT(D113,1)="B",D113="SIN HIST"),2,1))</f>
        <v>2</v>
      </c>
      <c r="AB113" s="3" t="str">
        <f aca="false">IF(AA113&gt;=9,"1-ALTA",IF(AA113&gt;=4,"2-MEDIA",IF(AA113&gt;0,"3-BAJA","")))</f>
        <v>3-BAJA</v>
      </c>
      <c r="AC113" s="3" t="str">
        <f aca="false">IF(E113="BAJO SS","Stock + XLIB bajo el SS: riesgo real de quiebre, adelantar producción. ","")&amp;IF(E113="BAJO SS (XLIB CUBRE)","Disponible bajo el SS; depende de liberar "&amp;TEXT(J113,"#,##0")&amp;" kg"&amp;IF(ISNUMBER(K113)," el "&amp;TEXT(K113,"dd-mm"),"")&amp;". ","")&amp;IF(W113="SÍ","Stock parece sano pero "&amp;TEXT(L113,"#,##0")&amp;" kg no pasan filtro "&amp;Stock_Seguridad!O113&amp;": sin ellos queda bajo el SS para esa cadena. ","")&amp;IF(E113="SOBRE MAX VENDIBLE","Sobrestock vs vida útil: frenar producción/activar venta. ","")&amp;IF(N(N113)&gt;=Parametros!$B$17,TEXT(N113,"#,##0")&amp;" kg ya no los acepta ninguna cadena: venta intermedia/liquidación. ","")&amp;IF(N(M113)&gt;=Parametros!$B$17,TEXT(M113,"#,##0")&amp;" kg a punto de salir del filtro: despachar primero (FEFO). ","")&amp;IF(Y113="SÍ","Pedidos "&amp;IF(N(U113)&gt;0,"sobre","bajo")&amp;" FCST "&amp;TEXT(ABS(N(U113)),"0%")&amp;": revisar forecast con KAM.","")</f>
        <v>Sobrestock vs vida útil: frenar producción/activar venta. </v>
      </c>
    </row>
    <row r="114" customFormat="false" ht="15" hidden="false" customHeight="false" outlineLevel="0" collapsed="false">
      <c r="A114" s="18" t="n">
        <f aca="false">Stock_Seguridad!A114</f>
        <v>30001973</v>
      </c>
      <c r="B114" s="18" t="str">
        <f aca="false">Stock_Seguridad!B114</f>
        <v>BEBIDA LONCOLECHE AVENA CHOCOLATE 6X1LT</v>
      </c>
      <c r="C114" s="18" t="str">
        <f aca="false">Stock_Seguridad!C114</f>
        <v>LECHES LIQUIDAS</v>
      </c>
      <c r="D114" s="18" t="str">
        <f aca="false">Stock_Seguridad!F114</f>
        <v>CZ</v>
      </c>
      <c r="E114" s="19" t="str">
        <f aca="false">Stock_Seguridad!X114</f>
        <v>BAJO SS</v>
      </c>
      <c r="F114" s="20" t="n">
        <f aca="false">Stock_Seguridad!W114</f>
        <v>0</v>
      </c>
      <c r="G114" s="21" t="n">
        <f aca="false">Stock_Seguridad!T114</f>
        <v>0</v>
      </c>
      <c r="H114" s="21" t="n">
        <f aca="false">Stock_Seguridad!R114</f>
        <v>66.0480189959245</v>
      </c>
      <c r="I114" s="21" t="n">
        <f aca="false">Stock_Seguridad!S114</f>
        <v>69.4480189959245</v>
      </c>
      <c r="J114" s="21" t="n">
        <f aca="false">Stock_Seguridad!U114</f>
        <v>0</v>
      </c>
      <c r="K114" s="22"/>
      <c r="L114" s="23"/>
      <c r="M114" s="23"/>
      <c r="N114" s="23"/>
      <c r="O114" s="24"/>
      <c r="P114" s="24" t="n">
        <f aca="false">IF(ISNUMBER(Stock_Seguridad!N114),Stock_Seguridad!N114,"")</f>
        <v>0.498630136986301</v>
      </c>
      <c r="Q114" s="24" t="str">
        <f aca="false">IF(AND(ISNUMBER(O114),ISNUMBER(P114)),P114-O114,"")</f>
        <v/>
      </c>
      <c r="R114" s="23" t="n">
        <f aca="false">MAX(0,G114-N(L114))</f>
        <v>0</v>
      </c>
      <c r="S114" s="23" t="n">
        <f aca="false">SUMIFS(Cadenas_vs_FCST!$D$17:$D$652,Cadenas_vs_FCST!$A$17:$A$652,A114)</f>
        <v>0</v>
      </c>
      <c r="T114" s="23" t="n">
        <f aca="false">SUMIFS(Cadenas_vs_FCST!$E$17:$E$652,Cadenas_vs_FCST!$A$17:$A$652,A114)</f>
        <v>127.791666666667</v>
      </c>
      <c r="U114" s="24" t="n">
        <f aca="false">IF(T114&gt;0,S114/T114-1,"")</f>
        <v>-1</v>
      </c>
      <c r="V114" s="3" t="str">
        <f aca="false">IF(OR(E114="BAJO SS",E114="BAJO SS (XLIB CUBRE)"),"SÍ","")</f>
        <v>SÍ</v>
      </c>
      <c r="W114" s="3" t="str">
        <f aca="false">IF(AND(V114="",N(L114)&gt;=Parametros!$B$17,G114&gt;=H114,R114&lt;H114),"SÍ","")</f>
        <v/>
      </c>
      <c r="X114" s="3" t="str">
        <f aca="false">IF(OR(E114="SOBRE MAX VENDIBLE",N(N114)&gt;=Parametros!$B$17,N(M114)&gt;=Parametros!$B$17),"SÍ","")</f>
        <v/>
      </c>
      <c r="Y114" s="3" t="str">
        <f aca="false">IF(AND(ISNUMBER(U114),MAX(S114,T114)&gt;=Parametros!$B$15,ABS(N(U114))&gt;Parametros!$B$14),"SÍ","")</f>
        <v/>
      </c>
      <c r="Z114" s="3" t="n">
        <f aca="false">COUNTIF(V114:Y114,"SÍ")</f>
        <v>1</v>
      </c>
      <c r="AA114" s="3" t="n">
        <f aca="false">(3*(V114="SÍ")+2*(W114="SÍ")+2*(X114="SÍ")+(Y114="SÍ"))*IF(LEFT(D114,1)="A",3,IF(OR(LEFT(D114,1)="B",D114="SIN HIST"),2,1))</f>
        <v>3</v>
      </c>
      <c r="AB114" s="3" t="str">
        <f aca="false">IF(AA114&gt;=9,"1-ALTA",IF(AA114&gt;=4,"2-MEDIA",IF(AA114&gt;0,"3-BAJA","")))</f>
        <v>3-BAJA</v>
      </c>
      <c r="AC114" s="3" t="str">
        <f aca="false">IF(E114="BAJO SS","Stock + XLIB bajo el SS: riesgo real de quiebre, adelantar producción. ","")&amp;IF(E114="BAJO SS (XLIB CUBRE)","Disponible bajo el SS; depende de liberar "&amp;TEXT(J114,"#,##0")&amp;" kg"&amp;IF(ISNUMBER(K114)," el "&amp;TEXT(K114,"dd-mm"),"")&amp;". ","")&amp;IF(W114="SÍ","Stock parece sano pero "&amp;TEXT(L114,"#,##0")&amp;" kg no pasan filtro "&amp;Stock_Seguridad!O114&amp;": sin ellos queda bajo el SS para esa cadena. ","")&amp;IF(E114="SOBRE MAX VENDIBLE","Sobrestock vs vida útil: frenar producción/activar venta. ","")&amp;IF(N(N114)&gt;=Parametros!$B$17,TEXT(N114,"#,##0")&amp;" kg ya no los acepta ninguna cadena: venta intermedia/liquidación. ","")&amp;IF(N(M114)&gt;=Parametros!$B$17,TEXT(M114,"#,##0")&amp;" kg a punto de salir del filtro: despachar primero (FEFO). ","")&amp;IF(Y114="SÍ","Pedidos "&amp;IF(N(U114)&gt;0,"sobre","bajo")&amp;" FCST "&amp;TEXT(ABS(N(U114)),"0%")&amp;": revisar forecast con KAM.","")</f>
        <v>Stock + XLIB bajo el SS: riesgo real de quiebre, adelantar producción. </v>
      </c>
    </row>
    <row r="115" customFormat="false" ht="15" hidden="false" customHeight="false" outlineLevel="0" collapsed="false">
      <c r="A115" s="18" t="n">
        <f aca="false">Stock_Seguridad!A115</f>
        <v>30000395</v>
      </c>
      <c r="B115" s="18" t="str">
        <f aca="false">Stock_Seguridad!B115</f>
        <v>LECHE POLVO CALO CRECER 4+ 10X800GR</v>
      </c>
      <c r="C115" s="18" t="str">
        <f aca="false">Stock_Seguridad!C115</f>
        <v>LECHES EN POLVO</v>
      </c>
      <c r="D115" s="18" t="str">
        <f aca="false">Stock_Seguridad!F115</f>
        <v>CZ</v>
      </c>
      <c r="E115" s="19" t="str">
        <f aca="false">Stock_Seguridad!X115</f>
        <v>SIN FCST</v>
      </c>
      <c r="F115" s="20" t="str">
        <f aca="false">Stock_Seguridad!W115</f>
        <v/>
      </c>
      <c r="G115" s="21" t="n">
        <f aca="false">Stock_Seguridad!T115</f>
        <v>120</v>
      </c>
      <c r="H115" s="21" t="n">
        <f aca="false">Stock_Seguridad!R115</f>
        <v>0</v>
      </c>
      <c r="I115" s="21" t="n">
        <f aca="false">Stock_Seguridad!S115</f>
        <v>0</v>
      </c>
      <c r="J115" s="21" t="n">
        <f aca="false">Stock_Seguridad!U115</f>
        <v>0</v>
      </c>
      <c r="K115" s="22"/>
      <c r="L115" s="23" t="n">
        <v>120</v>
      </c>
      <c r="M115" s="23" t="n">
        <v>0</v>
      </c>
      <c r="N115" s="23" t="n">
        <v>96</v>
      </c>
      <c r="O115" s="24" t="n">
        <v>0.518</v>
      </c>
      <c r="P115" s="24" t="n">
        <f aca="false">IF(ISNUMBER(Stock_Seguridad!N115),Stock_Seguridad!N115,"")</f>
        <v>0.32054794520548</v>
      </c>
      <c r="Q115" s="24" t="n">
        <f aca="false">IF(AND(ISNUMBER(O115),ISNUMBER(P115)),P115-O115,"")</f>
        <v>-0.197452054794521</v>
      </c>
      <c r="R115" s="23" t="n">
        <f aca="false">MAX(0,G115-N(L115))</f>
        <v>0</v>
      </c>
      <c r="S115" s="23" t="n">
        <f aca="false">SUMIFS(Cadenas_vs_FCST!$D$17:$D$652,Cadenas_vs_FCST!$A$17:$A$652,A115)</f>
        <v>0</v>
      </c>
      <c r="T115" s="23" t="n">
        <f aca="false">SUMIFS(Cadenas_vs_FCST!$E$17:$E$652,Cadenas_vs_FCST!$A$17:$A$652,A115)</f>
        <v>0</v>
      </c>
      <c r="U115" s="24" t="str">
        <f aca="false">IF(T115&gt;0,S115/T115-1,"")</f>
        <v/>
      </c>
      <c r="V115" s="3" t="str">
        <f aca="false">IF(OR(E115="BAJO SS",E115="BAJO SS (XLIB CUBRE)"),"SÍ","")</f>
        <v/>
      </c>
      <c r="W115" s="3" t="str">
        <f aca="false">IF(AND(V115="",N(L115)&gt;=Parametros!$B$17,G115&gt;=H115,R115&lt;H115),"SÍ","")</f>
        <v/>
      </c>
      <c r="X115" s="3" t="str">
        <f aca="false">IF(OR(E115="SOBRE MAX VENDIBLE",N(N115)&gt;=Parametros!$B$17,N(M115)&gt;=Parametros!$B$17),"SÍ","")</f>
        <v/>
      </c>
      <c r="Y115" s="3" t="str">
        <f aca="false">IF(AND(ISNUMBER(U115),MAX(S115,T115)&gt;=Parametros!$B$15,ABS(N(U115))&gt;Parametros!$B$14),"SÍ","")</f>
        <v/>
      </c>
      <c r="Z115" s="3" t="n">
        <f aca="false">COUNTIF(V115:Y115,"SÍ")</f>
        <v>0</v>
      </c>
      <c r="AA115" s="3" t="n">
        <f aca="false">(3*(V115="SÍ")+2*(W115="SÍ")+2*(X115="SÍ")+(Y115="SÍ"))*IF(LEFT(D115,1)="A",3,IF(OR(LEFT(D115,1)="B",D115="SIN HIST"),2,1))</f>
        <v>0</v>
      </c>
      <c r="AB115" s="3" t="str">
        <f aca="false">IF(AA115&gt;=9,"1-ALTA",IF(AA115&gt;=4,"2-MEDIA",IF(AA115&gt;0,"3-BAJA","")))</f>
        <v/>
      </c>
      <c r="AC115" s="3" t="str">
        <f aca="false">IF(E115="BAJO SS","Stock + XLIB bajo el SS: riesgo real de quiebre, adelantar producción. ","")&amp;IF(E115="BAJO SS (XLIB CUBRE)","Disponible bajo el SS; depende de liberar "&amp;TEXT(J115,"#,##0")&amp;" kg"&amp;IF(ISNUMBER(K115)," el "&amp;TEXT(K115,"dd-mm"),"")&amp;". ","")&amp;IF(W115="SÍ","Stock parece sano pero "&amp;TEXT(L115,"#,##0")&amp;" kg no pasan filtro "&amp;Stock_Seguridad!O115&amp;": sin ellos queda bajo el SS para esa cadena. ","")&amp;IF(E115="SOBRE MAX VENDIBLE","Sobrestock vs vida útil: frenar producción/activar venta. ","")&amp;IF(N(N115)&gt;=Parametros!$B$17,TEXT(N115,"#,##0")&amp;" kg ya no los acepta ninguna cadena: venta intermedia/liquidación. ","")&amp;IF(N(M115)&gt;=Parametros!$B$17,TEXT(M115,"#,##0")&amp;" kg a punto de salir del filtro: despachar primero (FEFO). ","")&amp;IF(Y115="SÍ","Pedidos "&amp;IF(N(U115)&gt;0,"sobre","bajo")&amp;" FCST "&amp;TEXT(ABS(N(U115)),"0%")&amp;": revisar forecast con KAM.","")</f>
        <v/>
      </c>
    </row>
    <row r="116" customFormat="false" ht="15" hidden="false" customHeight="false" outlineLevel="0" collapsed="false">
      <c r="A116" s="18" t="n">
        <f aca="false">Stock_Seguridad!A116</f>
        <v>30000394</v>
      </c>
      <c r="B116" s="18" t="str">
        <f aca="false">Stock_Seguridad!B116</f>
        <v>LECHE POLVO CALO CRECER 1+ 10X800GR</v>
      </c>
      <c r="C116" s="18" t="str">
        <f aca="false">Stock_Seguridad!C116</f>
        <v>LECHES EN POLVO</v>
      </c>
      <c r="D116" s="18" t="str">
        <f aca="false">Stock_Seguridad!F116</f>
        <v>CZ</v>
      </c>
      <c r="E116" s="19" t="str">
        <f aca="false">Stock_Seguridad!X116</f>
        <v>SIN FCST</v>
      </c>
      <c r="F116" s="20" t="str">
        <f aca="false">Stock_Seguridad!W116</f>
        <v/>
      </c>
      <c r="G116" s="21" t="n">
        <f aca="false">Stock_Seguridad!T116</f>
        <v>320</v>
      </c>
      <c r="H116" s="21" t="n">
        <f aca="false">Stock_Seguridad!R116</f>
        <v>0</v>
      </c>
      <c r="I116" s="21" t="n">
        <f aca="false">Stock_Seguridad!S116</f>
        <v>0</v>
      </c>
      <c r="J116" s="21" t="n">
        <f aca="false">Stock_Seguridad!U116</f>
        <v>0</v>
      </c>
      <c r="K116" s="22"/>
      <c r="L116" s="23" t="n">
        <v>320</v>
      </c>
      <c r="M116" s="23" t="n">
        <v>0</v>
      </c>
      <c r="N116" s="23" t="n">
        <v>320</v>
      </c>
      <c r="O116" s="24" t="n">
        <v>0.48</v>
      </c>
      <c r="P116" s="24" t="n">
        <f aca="false">IF(ISNUMBER(Stock_Seguridad!N116),Stock_Seguridad!N116,"")</f>
        <v>0.32054794520548</v>
      </c>
      <c r="Q116" s="24" t="n">
        <f aca="false">IF(AND(ISNUMBER(O116),ISNUMBER(P116)),P116-O116,"")</f>
        <v>-0.15945205479452</v>
      </c>
      <c r="R116" s="23" t="n">
        <f aca="false">MAX(0,G116-N(L116))</f>
        <v>0</v>
      </c>
      <c r="S116" s="23" t="n">
        <f aca="false">SUMIFS(Cadenas_vs_FCST!$D$17:$D$652,Cadenas_vs_FCST!$A$17:$A$652,A116)</f>
        <v>0</v>
      </c>
      <c r="T116" s="23" t="n">
        <f aca="false">SUMIFS(Cadenas_vs_FCST!$E$17:$E$652,Cadenas_vs_FCST!$A$17:$A$652,A116)</f>
        <v>0</v>
      </c>
      <c r="U116" s="24" t="str">
        <f aca="false">IF(T116&gt;0,S116/T116-1,"")</f>
        <v/>
      </c>
      <c r="V116" s="3" t="str">
        <f aca="false">IF(OR(E116="BAJO SS",E116="BAJO SS (XLIB CUBRE)"),"SÍ","")</f>
        <v/>
      </c>
      <c r="W116" s="3" t="str">
        <f aca="false">IF(AND(V116="",N(L116)&gt;=Parametros!$B$17,G116&gt;=H116,R116&lt;H116),"SÍ","")</f>
        <v/>
      </c>
      <c r="X116" s="3" t="str">
        <f aca="false">IF(OR(E116="SOBRE MAX VENDIBLE",N(N116)&gt;=Parametros!$B$17,N(M116)&gt;=Parametros!$B$17),"SÍ","")</f>
        <v/>
      </c>
      <c r="Y116" s="3" t="str">
        <f aca="false">IF(AND(ISNUMBER(U116),MAX(S116,T116)&gt;=Parametros!$B$15,ABS(N(U116))&gt;Parametros!$B$14),"SÍ","")</f>
        <v/>
      </c>
      <c r="Z116" s="3" t="n">
        <f aca="false">COUNTIF(V116:Y116,"SÍ")</f>
        <v>0</v>
      </c>
      <c r="AA116" s="3" t="n">
        <f aca="false">(3*(V116="SÍ")+2*(W116="SÍ")+2*(X116="SÍ")+(Y116="SÍ"))*IF(LEFT(D116,1)="A",3,IF(OR(LEFT(D116,1)="B",D116="SIN HIST"),2,1))</f>
        <v>0</v>
      </c>
      <c r="AB116" s="3" t="str">
        <f aca="false">IF(AA116&gt;=9,"1-ALTA",IF(AA116&gt;=4,"2-MEDIA",IF(AA116&gt;0,"3-BAJA","")))</f>
        <v/>
      </c>
      <c r="AC116" s="3" t="str">
        <f aca="false">IF(E116="BAJO SS","Stock + XLIB bajo el SS: riesgo real de quiebre, adelantar producción. ","")&amp;IF(E116="BAJO SS (XLIB CUBRE)","Disponible bajo el SS; depende de liberar "&amp;TEXT(J116,"#,##0")&amp;" kg"&amp;IF(ISNUMBER(K116)," el "&amp;TEXT(K116,"dd-mm"),"")&amp;". ","")&amp;IF(W116="SÍ","Stock parece sano pero "&amp;TEXT(L116,"#,##0")&amp;" kg no pasan filtro "&amp;Stock_Seguridad!O116&amp;": sin ellos queda bajo el SS para esa cadena. ","")&amp;IF(E116="SOBRE MAX VENDIBLE","Sobrestock vs vida útil: frenar producción/activar venta. ","")&amp;IF(N(N116)&gt;=Parametros!$B$17,TEXT(N116,"#,##0")&amp;" kg ya no los acepta ninguna cadena: venta intermedia/liquidación. ","")&amp;IF(N(M116)&gt;=Parametros!$B$17,TEXT(M116,"#,##0")&amp;" kg a punto de salir del filtro: despachar primero (FEFO). ","")&amp;IF(Y116="SÍ","Pedidos "&amp;IF(N(U116)&gt;0,"sobre","bajo")&amp;" FCST "&amp;TEXT(ABS(N(U116)),"0%")&amp;": revisar forecast con KAM.","")</f>
        <v/>
      </c>
    </row>
    <row r="117" customFormat="false" ht="15" hidden="false" customHeight="false" outlineLevel="0" collapsed="false">
      <c r="A117" s="18" t="n">
        <f aca="false">Stock_Seguridad!A117</f>
        <v>30001150</v>
      </c>
      <c r="B117" s="18" t="str">
        <f aca="false">Stock_Seguridad!B117</f>
        <v>LECHE POLVO CALO CRECER+1 BOLSA 6X1,5KG</v>
      </c>
      <c r="C117" s="18" t="str">
        <f aca="false">Stock_Seguridad!C117</f>
        <v>LECHES EN POLVO</v>
      </c>
      <c r="D117" s="18" t="str">
        <f aca="false">Stock_Seguridad!F117</f>
        <v>CZ</v>
      </c>
      <c r="E117" s="19" t="str">
        <f aca="false">Stock_Seguridad!X117</f>
        <v>SIN FCST</v>
      </c>
      <c r="F117" s="20" t="str">
        <f aca="false">Stock_Seguridad!W117</f>
        <v/>
      </c>
      <c r="G117" s="21" t="n">
        <f aca="false">Stock_Seguridad!T117</f>
        <v>9</v>
      </c>
      <c r="H117" s="21" t="n">
        <f aca="false">Stock_Seguridad!R117</f>
        <v>0</v>
      </c>
      <c r="I117" s="21" t="n">
        <f aca="false">Stock_Seguridad!S117</f>
        <v>0</v>
      </c>
      <c r="J117" s="21" t="n">
        <f aca="false">Stock_Seguridad!U117</f>
        <v>0</v>
      </c>
      <c r="K117" s="22"/>
      <c r="L117" s="23" t="n">
        <v>9</v>
      </c>
      <c r="M117" s="23" t="n">
        <v>0</v>
      </c>
      <c r="N117" s="23" t="n">
        <v>9</v>
      </c>
      <c r="O117" s="24" t="n">
        <v>0.53</v>
      </c>
      <c r="P117" s="24" t="n">
        <f aca="false">IF(ISNUMBER(Stock_Seguridad!N117),Stock_Seguridad!N117,"")</f>
        <v>0.194520547945206</v>
      </c>
      <c r="Q117" s="24" t="n">
        <f aca="false">IF(AND(ISNUMBER(O117),ISNUMBER(P117)),P117-O117,"")</f>
        <v>-0.335479452054795</v>
      </c>
      <c r="R117" s="23" t="n">
        <f aca="false">MAX(0,G117-N(L117))</f>
        <v>0</v>
      </c>
      <c r="S117" s="23" t="n">
        <f aca="false">SUMIFS(Cadenas_vs_FCST!$D$17:$D$652,Cadenas_vs_FCST!$A$17:$A$652,A117)</f>
        <v>0</v>
      </c>
      <c r="T117" s="23" t="n">
        <f aca="false">SUMIFS(Cadenas_vs_FCST!$E$17:$E$652,Cadenas_vs_FCST!$A$17:$A$652,A117)</f>
        <v>0</v>
      </c>
      <c r="U117" s="24" t="str">
        <f aca="false">IF(T117&gt;0,S117/T117-1,"")</f>
        <v/>
      </c>
      <c r="V117" s="3" t="str">
        <f aca="false">IF(OR(E117="BAJO SS",E117="BAJO SS (XLIB CUBRE)"),"SÍ","")</f>
        <v/>
      </c>
      <c r="W117" s="3" t="str">
        <f aca="false">IF(AND(V117="",N(L117)&gt;=Parametros!$B$17,G117&gt;=H117,R117&lt;H117),"SÍ","")</f>
        <v/>
      </c>
      <c r="X117" s="3" t="str">
        <f aca="false">IF(OR(E117="SOBRE MAX VENDIBLE",N(N117)&gt;=Parametros!$B$17,N(M117)&gt;=Parametros!$B$17),"SÍ","")</f>
        <v/>
      </c>
      <c r="Y117" s="3" t="str">
        <f aca="false">IF(AND(ISNUMBER(U117),MAX(S117,T117)&gt;=Parametros!$B$15,ABS(N(U117))&gt;Parametros!$B$14),"SÍ","")</f>
        <v/>
      </c>
      <c r="Z117" s="3" t="n">
        <f aca="false">COUNTIF(V117:Y117,"SÍ")</f>
        <v>0</v>
      </c>
      <c r="AA117" s="3" t="n">
        <f aca="false">(3*(V117="SÍ")+2*(W117="SÍ")+2*(X117="SÍ")+(Y117="SÍ"))*IF(LEFT(D117,1)="A",3,IF(OR(LEFT(D117,1)="B",D117="SIN HIST"),2,1))</f>
        <v>0</v>
      </c>
      <c r="AB117" s="3" t="str">
        <f aca="false">IF(AA117&gt;=9,"1-ALTA",IF(AA117&gt;=4,"2-MEDIA",IF(AA117&gt;0,"3-BAJA","")))</f>
        <v/>
      </c>
      <c r="AC117" s="3" t="str">
        <f aca="false">IF(E117="BAJO SS","Stock + XLIB bajo el SS: riesgo real de quiebre, adelantar producción. ","")&amp;IF(E117="BAJO SS (XLIB CUBRE)","Disponible bajo el SS; depende de liberar "&amp;TEXT(J117,"#,##0")&amp;" kg"&amp;IF(ISNUMBER(K117)," el "&amp;TEXT(K117,"dd-mm"),"")&amp;". ","")&amp;IF(W117="SÍ","Stock parece sano pero "&amp;TEXT(L117,"#,##0")&amp;" kg no pasan filtro "&amp;Stock_Seguridad!O117&amp;": sin ellos queda bajo el SS para esa cadena. ","")&amp;IF(E117="SOBRE MAX VENDIBLE","Sobrestock vs vida útil: frenar producción/activar venta. ","")&amp;IF(N(N117)&gt;=Parametros!$B$17,TEXT(N117,"#,##0")&amp;" kg ya no los acepta ninguna cadena: venta intermedia/liquidación. ","")&amp;IF(N(M117)&gt;=Parametros!$B$17,TEXT(M117,"#,##0")&amp;" kg a punto de salir del filtro: despachar primero (FEFO). ","")&amp;IF(Y117="SÍ","Pedidos "&amp;IF(N(U117)&gt;0,"sobre","bajo")&amp;" FCST "&amp;TEXT(ABS(N(U117)),"0%")&amp;": revisar forecast con KAM.","")</f>
        <v/>
      </c>
    </row>
    <row r="118" customFormat="false" ht="15" hidden="false" customHeight="false" outlineLevel="0" collapsed="false">
      <c r="A118" s="18" t="n">
        <f aca="false">Stock_Seguridad!A118</f>
        <v>30002187</v>
      </c>
      <c r="B118" s="18" t="str">
        <f aca="false">Stock_Seguridad!B118</f>
        <v>YOGU YOGU FRUTILLA 5X6X115 ML</v>
      </c>
      <c r="C118" s="18" t="str">
        <f aca="false">Stock_Seguridad!C118</f>
        <v>LECHES LIQUIDAS</v>
      </c>
      <c r="D118" s="18" t="str">
        <f aca="false">Stock_Seguridad!F118</f>
        <v>CY</v>
      </c>
      <c r="E118" s="19" t="str">
        <f aca="false">Stock_Seguridad!X118</f>
        <v>SIN FCST</v>
      </c>
      <c r="F118" s="20" t="str">
        <f aca="false">Stock_Seguridad!W118</f>
        <v/>
      </c>
      <c r="G118" s="21" t="n">
        <f aca="false">Stock_Seguridad!T118</f>
        <v>0</v>
      </c>
      <c r="H118" s="21" t="n">
        <f aca="false">Stock_Seguridad!R118</f>
        <v>0</v>
      </c>
      <c r="I118" s="21" t="n">
        <f aca="false">Stock_Seguridad!S118</f>
        <v>0</v>
      </c>
      <c r="J118" s="21" t="n">
        <f aca="false">Stock_Seguridad!U118</f>
        <v>0</v>
      </c>
      <c r="K118" s="22"/>
      <c r="L118" s="23"/>
      <c r="M118" s="23"/>
      <c r="N118" s="23"/>
      <c r="O118" s="24"/>
      <c r="P118" s="24" t="n">
        <f aca="false">IF(ISNUMBER(Stock_Seguridad!N118),Stock_Seguridad!N118,"")</f>
        <v>0.216326530612245</v>
      </c>
      <c r="Q118" s="24" t="str">
        <f aca="false">IF(AND(ISNUMBER(O118),ISNUMBER(P118)),P118-O118,"")</f>
        <v/>
      </c>
      <c r="R118" s="23" t="n">
        <f aca="false">MAX(0,G118-N(L118))</f>
        <v>0</v>
      </c>
      <c r="S118" s="23" t="n">
        <f aca="false">SUMIFS(Cadenas_vs_FCST!$D$17:$D$652,Cadenas_vs_FCST!$A$17:$A$652,A118)</f>
        <v>34.5</v>
      </c>
      <c r="T118" s="23" t="n">
        <f aca="false">SUMIFS(Cadenas_vs_FCST!$E$17:$E$652,Cadenas_vs_FCST!$A$17:$A$652,A118)</f>
        <v>1000</v>
      </c>
      <c r="U118" s="24" t="n">
        <f aca="false">IF(T118&gt;0,S118/T118-1,"")</f>
        <v>-0.9655</v>
      </c>
      <c r="V118" s="3" t="str">
        <f aca="false">IF(OR(E118="BAJO SS",E118="BAJO SS (XLIB CUBRE)"),"SÍ","")</f>
        <v/>
      </c>
      <c r="W118" s="3" t="str">
        <f aca="false">IF(AND(V118="",N(L118)&gt;=Parametros!$B$17,G118&gt;=H118,R118&lt;H118),"SÍ","")</f>
        <v/>
      </c>
      <c r="X118" s="3" t="str">
        <f aca="false">IF(OR(E118="SOBRE MAX VENDIBLE",N(N118)&gt;=Parametros!$B$17,N(M118)&gt;=Parametros!$B$17),"SÍ","")</f>
        <v/>
      </c>
      <c r="Y118" s="3" t="str">
        <f aca="false">IF(AND(ISNUMBER(U118),MAX(S118,T118)&gt;=Parametros!$B$15,ABS(N(U118))&gt;Parametros!$B$14),"SÍ","")</f>
        <v/>
      </c>
      <c r="Z118" s="3" t="n">
        <f aca="false">COUNTIF(V118:Y118,"SÍ")</f>
        <v>0</v>
      </c>
      <c r="AA118" s="3" t="n">
        <f aca="false">(3*(V118="SÍ")+2*(W118="SÍ")+2*(X118="SÍ")+(Y118="SÍ"))*IF(LEFT(D118,1)="A",3,IF(OR(LEFT(D118,1)="B",D118="SIN HIST"),2,1))</f>
        <v>0</v>
      </c>
      <c r="AB118" s="3" t="str">
        <f aca="false">IF(AA118&gt;=9,"1-ALTA",IF(AA118&gt;=4,"2-MEDIA",IF(AA118&gt;0,"3-BAJA","")))</f>
        <v/>
      </c>
      <c r="AC118" s="3" t="str">
        <f aca="false">IF(E118="BAJO SS","Stock + XLIB bajo el SS: riesgo real de quiebre, adelantar producción. ","")&amp;IF(E118="BAJO SS (XLIB CUBRE)","Disponible bajo el SS; depende de liberar "&amp;TEXT(J118,"#,##0")&amp;" kg"&amp;IF(ISNUMBER(K118)," el "&amp;TEXT(K118,"dd-mm"),"")&amp;". ","")&amp;IF(W118="SÍ","Stock parece sano pero "&amp;TEXT(L118,"#,##0")&amp;" kg no pasan filtro "&amp;Stock_Seguridad!O118&amp;": sin ellos queda bajo el SS para esa cadena. ","")&amp;IF(E118="SOBRE MAX VENDIBLE","Sobrestock vs vida útil: frenar producción/activar venta. ","")&amp;IF(N(N118)&gt;=Parametros!$B$17,TEXT(N118,"#,##0")&amp;" kg ya no los acepta ninguna cadena: venta intermedia/liquidación. ","")&amp;IF(N(M118)&gt;=Parametros!$B$17,TEXT(M118,"#,##0")&amp;" kg a punto de salir del filtro: despachar primero (FEFO). ","")&amp;IF(Y118="SÍ","Pedidos "&amp;IF(N(U118)&gt;0,"sobre","bajo")&amp;" FCST "&amp;TEXT(ABS(N(U118)),"0%")&amp;": revisar forecast con KAM.","")</f>
        <v/>
      </c>
    </row>
  </sheetData>
  <autoFilter ref="A4:AC118"/>
  <conditionalFormatting sqref="E5:E118">
    <cfRule type="expression" priority="2" aboveAverage="0" equalAverage="0" bottom="0" percent="0" rank="0" text="" dxfId="10">
      <formula>E5="BAJO SS"</formula>
    </cfRule>
    <cfRule type="expression" priority="3" aboveAverage="0" equalAverage="0" bottom="0" percent="0" rank="0" text="" dxfId="11">
      <formula>E5="BAJO SS (XLIB CUBRE)"</formula>
    </cfRule>
    <cfRule type="expression" priority="4" aboveAverage="0" equalAverage="0" bottom="0" percent="0" rank="0" text="" dxfId="12">
      <formula>E5="BAJO P.REORDEN"</formula>
    </cfRule>
    <cfRule type="expression" priority="5" aboveAverage="0" equalAverage="0" bottom="0" percent="0" rank="0" text="" dxfId="13">
      <formula>E5="SOBRE MAX VENDIBLE"</formula>
    </cfRule>
    <cfRule type="expression" priority="6" aboveAverage="0" equalAverage="0" bottom="0" percent="0" rank="0" text="" dxfId="14">
      <formula>E5="OK"</formula>
    </cfRule>
  </conditionalFormatting>
  <conditionalFormatting sqref="V5:Y118">
    <cfRule type="expression" priority="7" aboveAverage="0" equalAverage="0" bottom="0" percent="0" rank="0" text="" dxfId="15">
      <formula>V5="SÍ"</formula>
    </cfRule>
  </conditionalFormatting>
  <conditionalFormatting sqref="AB5:AB118">
    <cfRule type="expression" priority="8" aboveAverage="0" equalAverage="0" bottom="0" percent="0" rank="0" text="" dxfId="10">
      <formula>AB5="1-ALTA"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19" min="5" style="0" width="10"/>
  </cols>
  <sheetData>
    <row r="1" customFormat="false" ht="15" hidden="false" customHeight="false" outlineLevel="0" collapsed="false">
      <c r="A1" s="4" t="s">
        <v>168</v>
      </c>
    </row>
    <row r="2" customFormat="false" ht="15" hidden="false" customHeight="false" outlineLevel="0" collapsed="false">
      <c r="A2" s="26" t="s">
        <v>169</v>
      </c>
    </row>
    <row r="4" customFormat="false" ht="42" hidden="false" customHeight="true" outlineLevel="0" collapsed="false">
      <c r="A4" s="14" t="s">
        <v>133</v>
      </c>
      <c r="B4" s="14" t="s">
        <v>134</v>
      </c>
      <c r="C4" s="14" t="s">
        <v>121</v>
      </c>
      <c r="D4" s="14" t="s">
        <v>170</v>
      </c>
      <c r="E4" s="14" t="s">
        <v>171</v>
      </c>
      <c r="F4" s="14" t="s">
        <v>172</v>
      </c>
      <c r="G4" s="14" t="s">
        <v>173</v>
      </c>
      <c r="H4" s="14" t="s">
        <v>174</v>
      </c>
      <c r="I4" s="14" t="s">
        <v>175</v>
      </c>
      <c r="J4" s="14" t="s">
        <v>176</v>
      </c>
      <c r="K4" s="14" t="s">
        <v>177</v>
      </c>
      <c r="L4" s="14" t="s">
        <v>178</v>
      </c>
      <c r="M4" s="14" t="s">
        <v>179</v>
      </c>
      <c r="N4" s="14" t="s">
        <v>180</v>
      </c>
      <c r="O4" s="14" t="s">
        <v>181</v>
      </c>
      <c r="P4" s="14" t="s">
        <v>182</v>
      </c>
      <c r="Q4" s="14" t="s">
        <v>183</v>
      </c>
      <c r="R4" s="14" t="s">
        <v>184</v>
      </c>
      <c r="S4" s="14" t="s">
        <v>185</v>
      </c>
    </row>
    <row r="5" customFormat="false" ht="15" hidden="false" customHeight="false" outlineLevel="0" collapsed="false">
      <c r="A5" s="3" t="n">
        <v>30000522</v>
      </c>
      <c r="B5" s="3" t="s">
        <v>186</v>
      </c>
      <c r="C5" s="3" t="s">
        <v>129</v>
      </c>
      <c r="D5" s="3" t="s">
        <v>187</v>
      </c>
      <c r="E5" s="3" t="s">
        <v>188</v>
      </c>
      <c r="F5" s="23" t="n">
        <v>411132</v>
      </c>
      <c r="G5" s="23" t="n">
        <v>320976</v>
      </c>
      <c r="H5" s="23" t="n">
        <v>267708</v>
      </c>
      <c r="I5" s="23" t="n">
        <v>462924</v>
      </c>
      <c r="J5" s="23" t="n">
        <v>488724</v>
      </c>
      <c r="K5" s="23" t="n">
        <v>302916</v>
      </c>
      <c r="L5" s="23" t="n">
        <v>315348</v>
      </c>
      <c r="M5" s="23" t="n">
        <v>320000</v>
      </c>
      <c r="N5" s="23" t="n">
        <v>300500</v>
      </c>
      <c r="O5" s="23" t="n">
        <v>276590.5</v>
      </c>
      <c r="P5" s="23" t="n">
        <v>373000</v>
      </c>
      <c r="Q5" s="23" t="n">
        <v>350619.3</v>
      </c>
      <c r="R5" s="23" t="n">
        <v>455066.311500311</v>
      </c>
      <c r="S5" s="23" t="n">
        <v>353809.258162328</v>
      </c>
    </row>
    <row r="6" customFormat="false" ht="15" hidden="false" customHeight="false" outlineLevel="0" collapsed="false">
      <c r="A6" s="3" t="n">
        <v>30000325</v>
      </c>
      <c r="B6" s="3" t="s">
        <v>189</v>
      </c>
      <c r="C6" s="3" t="s">
        <v>129</v>
      </c>
      <c r="D6" s="3" t="s">
        <v>187</v>
      </c>
      <c r="E6" s="3" t="s">
        <v>188</v>
      </c>
      <c r="F6" s="23" t="n">
        <v>108900</v>
      </c>
      <c r="G6" s="23" t="n">
        <v>121404</v>
      </c>
      <c r="H6" s="23" t="n">
        <v>103236</v>
      </c>
      <c r="I6" s="23" t="n">
        <v>112224</v>
      </c>
      <c r="J6" s="23" t="n">
        <v>158844</v>
      </c>
      <c r="K6" s="23" t="n">
        <v>128628</v>
      </c>
      <c r="L6" s="23" t="n">
        <v>64584</v>
      </c>
      <c r="M6" s="23" t="n">
        <v>111100</v>
      </c>
      <c r="N6" s="23" t="n">
        <v>119024</v>
      </c>
      <c r="O6" s="23" t="n">
        <v>70528.15</v>
      </c>
      <c r="P6" s="23" t="n">
        <v>150768.4512</v>
      </c>
      <c r="Q6" s="23" t="n">
        <v>152774.8</v>
      </c>
      <c r="R6" s="23" t="n">
        <v>169458.775297465</v>
      </c>
      <c r="S6" s="23" t="n">
        <v>130767.573778296</v>
      </c>
    </row>
    <row r="7" customFormat="false" ht="15" hidden="false" customHeight="false" outlineLevel="0" collapsed="false">
      <c r="A7" s="3" t="n">
        <v>30000326</v>
      </c>
      <c r="B7" s="3" t="s">
        <v>190</v>
      </c>
      <c r="C7" s="3" t="s">
        <v>129</v>
      </c>
      <c r="D7" s="3" t="s">
        <v>187</v>
      </c>
      <c r="E7" s="3" t="s">
        <v>188</v>
      </c>
      <c r="F7" s="23" t="n">
        <v>90384</v>
      </c>
      <c r="G7" s="23" t="n">
        <v>83892</v>
      </c>
      <c r="H7" s="23" t="n">
        <v>69900</v>
      </c>
      <c r="I7" s="23" t="n">
        <v>138744</v>
      </c>
      <c r="J7" s="23" t="n">
        <v>144564</v>
      </c>
      <c r="K7" s="23" t="n">
        <v>129552</v>
      </c>
      <c r="L7" s="23" t="n">
        <v>58740</v>
      </c>
      <c r="M7" s="23" t="n">
        <v>109700</v>
      </c>
      <c r="N7" s="23" t="n">
        <v>104164</v>
      </c>
      <c r="O7" s="23" t="n">
        <v>60352.89</v>
      </c>
      <c r="P7" s="23" t="n">
        <v>149901.7004</v>
      </c>
      <c r="Q7" s="23" t="n">
        <v>150441.4</v>
      </c>
      <c r="R7" s="23" t="n">
        <v>160747.379100659</v>
      </c>
      <c r="S7" s="23" t="n">
        <v>134228.30212944</v>
      </c>
    </row>
    <row r="8" customFormat="false" ht="15" hidden="false" customHeight="false" outlineLevel="0" collapsed="false">
      <c r="A8" s="3" t="n">
        <v>30000353</v>
      </c>
      <c r="B8" s="3" t="s">
        <v>191</v>
      </c>
      <c r="C8" s="3" t="s">
        <v>129</v>
      </c>
      <c r="D8" s="3" t="s">
        <v>187</v>
      </c>
      <c r="E8" s="3" t="s">
        <v>188</v>
      </c>
      <c r="F8" s="23" t="n">
        <v>69480</v>
      </c>
      <c r="G8" s="23" t="n">
        <v>60024</v>
      </c>
      <c r="H8" s="23" t="n">
        <v>43164</v>
      </c>
      <c r="I8" s="23" t="n">
        <v>99120</v>
      </c>
      <c r="J8" s="23" t="n">
        <v>145800</v>
      </c>
      <c r="K8" s="23" t="n">
        <v>139380</v>
      </c>
      <c r="L8" s="23" t="n">
        <v>39468</v>
      </c>
      <c r="M8" s="23" t="n">
        <v>92100</v>
      </c>
      <c r="N8" s="23" t="n">
        <v>85500</v>
      </c>
      <c r="O8" s="23" t="n">
        <v>46319.54</v>
      </c>
      <c r="P8" s="23" t="n">
        <v>120920.7168</v>
      </c>
      <c r="Q8" s="23" t="n">
        <v>103171</v>
      </c>
      <c r="R8" s="23" t="n">
        <v>123249.901437621</v>
      </c>
      <c r="S8" s="23" t="n">
        <v>106847.35625</v>
      </c>
    </row>
    <row r="9" customFormat="false" ht="15" hidden="false" customHeight="false" outlineLevel="0" collapsed="false">
      <c r="A9" s="3" t="n">
        <v>30000524</v>
      </c>
      <c r="B9" s="3" t="s">
        <v>192</v>
      </c>
      <c r="C9" s="3" t="s">
        <v>129</v>
      </c>
      <c r="D9" s="3" t="s">
        <v>187</v>
      </c>
      <c r="E9" s="3" t="s">
        <v>188</v>
      </c>
      <c r="F9" s="23" t="n">
        <v>33372</v>
      </c>
      <c r="G9" s="23" t="n">
        <v>64548</v>
      </c>
      <c r="H9" s="23" t="n">
        <v>25932</v>
      </c>
      <c r="I9" s="23" t="n">
        <v>33204</v>
      </c>
      <c r="J9" s="23" t="n">
        <v>293196</v>
      </c>
      <c r="K9" s="23" t="n">
        <v>74100</v>
      </c>
      <c r="L9" s="23" t="n">
        <v>39420</v>
      </c>
      <c r="M9" s="23" t="n">
        <v>48700</v>
      </c>
      <c r="N9" s="23" t="n">
        <v>38200</v>
      </c>
      <c r="O9" s="23" t="n">
        <v>25565.9</v>
      </c>
      <c r="P9" s="23" t="n">
        <v>34259.58</v>
      </c>
      <c r="Q9" s="23" t="n">
        <v>53633.1</v>
      </c>
      <c r="R9" s="23" t="n">
        <v>112535.022113639</v>
      </c>
      <c r="S9" s="23" t="n">
        <v>51875.4166666667</v>
      </c>
    </row>
    <row r="10" customFormat="false" ht="15" hidden="false" customHeight="false" outlineLevel="0" collapsed="false">
      <c r="A10" s="3" t="n">
        <v>30000255</v>
      </c>
      <c r="B10" s="3" t="s">
        <v>193</v>
      </c>
      <c r="C10" s="3" t="s">
        <v>126</v>
      </c>
      <c r="D10" s="3" t="s">
        <v>187</v>
      </c>
      <c r="E10" s="3" t="s">
        <v>188</v>
      </c>
      <c r="F10" s="23" t="n">
        <v>92094</v>
      </c>
      <c r="G10" s="23" t="n">
        <v>71400</v>
      </c>
      <c r="H10" s="23" t="n">
        <v>79212</v>
      </c>
      <c r="I10" s="23" t="n">
        <v>44844</v>
      </c>
      <c r="J10" s="23" t="n">
        <v>37926</v>
      </c>
      <c r="K10" s="23" t="n">
        <v>155424</v>
      </c>
      <c r="L10" s="23" t="n">
        <v>17820</v>
      </c>
      <c r="M10" s="23" t="n">
        <v>75061.722092039</v>
      </c>
      <c r="N10" s="23" t="n">
        <v>59016</v>
      </c>
      <c r="O10" s="23" t="n">
        <v>62214.57336</v>
      </c>
      <c r="P10" s="23" t="n">
        <v>54030.19136</v>
      </c>
      <c r="Q10" s="23" t="n">
        <v>63227.3</v>
      </c>
      <c r="R10" s="23" t="n">
        <v>97477.4161977066</v>
      </c>
      <c r="S10" s="23" t="n">
        <v>110013.570794926</v>
      </c>
    </row>
    <row r="11" customFormat="false" ht="15" hidden="false" customHeight="false" outlineLevel="0" collapsed="false">
      <c r="A11" s="3" t="n">
        <v>30000523</v>
      </c>
      <c r="B11" s="3" t="s">
        <v>194</v>
      </c>
      <c r="C11" s="3" t="s">
        <v>129</v>
      </c>
      <c r="D11" s="3" t="s">
        <v>187</v>
      </c>
      <c r="E11" s="3" t="s">
        <v>188</v>
      </c>
      <c r="F11" s="23" t="n">
        <v>70908</v>
      </c>
      <c r="G11" s="23" t="n">
        <v>79032</v>
      </c>
      <c r="H11" s="23" t="n">
        <v>54276</v>
      </c>
      <c r="I11" s="23" t="n">
        <v>50832</v>
      </c>
      <c r="J11" s="23" t="n">
        <v>118152</v>
      </c>
      <c r="K11" s="23" t="n">
        <v>50328</v>
      </c>
      <c r="L11" s="23" t="n">
        <v>69444</v>
      </c>
      <c r="M11" s="23" t="n">
        <v>112400</v>
      </c>
      <c r="N11" s="23" t="n">
        <v>79000</v>
      </c>
      <c r="O11" s="23" t="n">
        <v>62643.6</v>
      </c>
      <c r="P11" s="23" t="n">
        <v>91617.12</v>
      </c>
      <c r="Q11" s="23" t="n">
        <v>106267.6</v>
      </c>
      <c r="R11" s="23" t="n">
        <v>201414.187120916</v>
      </c>
      <c r="S11" s="23" t="n">
        <v>103847.213032259</v>
      </c>
    </row>
    <row r="12" customFormat="false" ht="15" hidden="false" customHeight="false" outlineLevel="0" collapsed="false">
      <c r="A12" s="3" t="n">
        <v>30000256</v>
      </c>
      <c r="B12" s="3" t="s">
        <v>195</v>
      </c>
      <c r="C12" s="3" t="s">
        <v>126</v>
      </c>
      <c r="D12" s="3" t="s">
        <v>187</v>
      </c>
      <c r="E12" s="3" t="s">
        <v>188</v>
      </c>
      <c r="F12" s="23" t="n">
        <v>71766</v>
      </c>
      <c r="G12" s="23" t="n">
        <v>41712</v>
      </c>
      <c r="H12" s="23" t="n">
        <v>66648</v>
      </c>
      <c r="I12" s="23" t="n">
        <v>24630</v>
      </c>
      <c r="J12" s="23" t="n">
        <v>20106</v>
      </c>
      <c r="K12" s="23" t="n">
        <v>112140</v>
      </c>
      <c r="L12" s="23" t="n">
        <v>24066</v>
      </c>
      <c r="M12" s="23" t="n">
        <v>51931.2332284242</v>
      </c>
      <c r="N12" s="23" t="n">
        <v>48400</v>
      </c>
      <c r="O12" s="23" t="n">
        <v>43716.93744</v>
      </c>
      <c r="P12" s="23" t="n">
        <v>38299.59044</v>
      </c>
      <c r="Q12" s="23" t="n">
        <v>53448.571</v>
      </c>
      <c r="R12" s="23" t="n">
        <v>68350.2776663861</v>
      </c>
      <c r="S12" s="23" t="n">
        <v>86235.6905334192</v>
      </c>
    </row>
    <row r="13" customFormat="false" ht="15" hidden="false" customHeight="false" outlineLevel="0" collapsed="false">
      <c r="A13" s="3" t="n">
        <v>30000258</v>
      </c>
      <c r="B13" s="3" t="s">
        <v>196</v>
      </c>
      <c r="C13" s="3" t="s">
        <v>126</v>
      </c>
      <c r="D13" s="3" t="s">
        <v>187</v>
      </c>
      <c r="E13" s="3" t="s">
        <v>188</v>
      </c>
      <c r="F13" s="23" t="n">
        <v>96636</v>
      </c>
      <c r="G13" s="23" t="n">
        <v>78198</v>
      </c>
      <c r="H13" s="23" t="n">
        <v>23334</v>
      </c>
      <c r="I13" s="23" t="n">
        <v>66330</v>
      </c>
      <c r="J13" s="23" t="n">
        <v>25110</v>
      </c>
      <c r="K13" s="23" t="n">
        <v>36006</v>
      </c>
      <c r="L13" s="23" t="n">
        <v>109716</v>
      </c>
      <c r="M13" s="23" t="n">
        <v>109791.2593363</v>
      </c>
      <c r="N13" s="23" t="n">
        <v>48148.7985791893</v>
      </c>
      <c r="O13" s="23" t="n">
        <v>48950.2908</v>
      </c>
      <c r="P13" s="23" t="n">
        <v>71337.5328</v>
      </c>
      <c r="Q13" s="23" t="n">
        <v>55530.5</v>
      </c>
      <c r="R13" s="23" t="n">
        <v>66017.22365364</v>
      </c>
      <c r="S13" s="23" t="n">
        <v>79588.9567584832</v>
      </c>
    </row>
    <row r="14" customFormat="false" ht="15" hidden="false" customHeight="false" outlineLevel="0" collapsed="false">
      <c r="A14" s="3" t="n">
        <v>30000257</v>
      </c>
      <c r="B14" s="3" t="s">
        <v>197</v>
      </c>
      <c r="C14" s="3" t="s">
        <v>126</v>
      </c>
      <c r="D14" s="3" t="s">
        <v>187</v>
      </c>
      <c r="E14" s="3" t="s">
        <v>188</v>
      </c>
      <c r="F14" s="23" t="n">
        <v>33714</v>
      </c>
      <c r="G14" s="23" t="n">
        <v>79338</v>
      </c>
      <c r="H14" s="23" t="n">
        <v>34560</v>
      </c>
      <c r="I14" s="23" t="n">
        <v>62724</v>
      </c>
      <c r="J14" s="23" t="n">
        <v>26832</v>
      </c>
      <c r="K14" s="23" t="n">
        <v>85410</v>
      </c>
      <c r="L14" s="23" t="n">
        <v>51270</v>
      </c>
      <c r="M14" s="23" t="n">
        <v>42136.7715562179</v>
      </c>
      <c r="N14" s="23" t="n">
        <v>41156</v>
      </c>
      <c r="O14" s="23" t="n">
        <v>44346.26656</v>
      </c>
      <c r="P14" s="23" t="n">
        <v>69862.90956</v>
      </c>
      <c r="Q14" s="23" t="n">
        <v>43057.5</v>
      </c>
      <c r="R14" s="23" t="n">
        <v>67587.8244683353</v>
      </c>
      <c r="S14" s="23" t="n">
        <v>81715.0008256515</v>
      </c>
    </row>
    <row r="15" customFormat="false" ht="15" hidden="false" customHeight="false" outlineLevel="0" collapsed="false">
      <c r="A15" s="3" t="n">
        <v>30000401</v>
      </c>
      <c r="B15" s="3" t="s">
        <v>198</v>
      </c>
      <c r="C15" s="3" t="s">
        <v>129</v>
      </c>
      <c r="D15" s="3" t="s">
        <v>187</v>
      </c>
      <c r="E15" s="3" t="s">
        <v>188</v>
      </c>
      <c r="F15" s="23" t="n">
        <v>29064</v>
      </c>
      <c r="G15" s="23" t="n">
        <v>69312</v>
      </c>
      <c r="H15" s="23" t="n">
        <v>8076</v>
      </c>
      <c r="I15" s="23" t="n">
        <v>29928</v>
      </c>
      <c r="J15" s="23" t="n">
        <v>23538</v>
      </c>
      <c r="K15" s="23" t="n">
        <v>79170</v>
      </c>
      <c r="L15" s="23" t="n">
        <v>16536</v>
      </c>
      <c r="M15" s="23" t="n">
        <v>10592.7669350687</v>
      </c>
      <c r="N15" s="23" t="n">
        <v>21992.7669350687</v>
      </c>
      <c r="O15" s="23" t="n">
        <v>8260.8838</v>
      </c>
      <c r="P15" s="23" t="n">
        <v>36023.3</v>
      </c>
      <c r="Q15" s="23" t="n">
        <v>21944.83</v>
      </c>
      <c r="R15" s="23" t="n">
        <v>56193.7366113806</v>
      </c>
      <c r="S15" s="23" t="n">
        <v>16949.6782732187</v>
      </c>
    </row>
    <row r="16" customFormat="false" ht="15" hidden="false" customHeight="false" outlineLevel="0" collapsed="false">
      <c r="A16" s="3" t="n">
        <v>30000400</v>
      </c>
      <c r="B16" s="3" t="s">
        <v>199</v>
      </c>
      <c r="C16" s="3" t="s">
        <v>129</v>
      </c>
      <c r="D16" s="3" t="s">
        <v>187</v>
      </c>
      <c r="E16" s="3" t="s">
        <v>188</v>
      </c>
      <c r="F16" s="23" t="n">
        <v>26772</v>
      </c>
      <c r="G16" s="23" t="n">
        <v>31920</v>
      </c>
      <c r="H16" s="23" t="n">
        <v>30036</v>
      </c>
      <c r="I16" s="23" t="n">
        <v>40914</v>
      </c>
      <c r="J16" s="23" t="n">
        <v>39558</v>
      </c>
      <c r="K16" s="23" t="n">
        <v>63612</v>
      </c>
      <c r="L16" s="23" t="n">
        <v>29928</v>
      </c>
      <c r="M16" s="23" t="n">
        <v>25245.9669045954</v>
      </c>
      <c r="N16" s="23" t="n">
        <v>29700</v>
      </c>
      <c r="O16" s="23" t="n">
        <v>28773.465</v>
      </c>
      <c r="P16" s="23" t="n">
        <v>32761.85</v>
      </c>
      <c r="Q16" s="23" t="n">
        <v>34207.971</v>
      </c>
      <c r="R16" s="23" t="n">
        <v>49699.4351801749</v>
      </c>
      <c r="S16" s="23" t="n">
        <v>38242.4890008328</v>
      </c>
    </row>
    <row r="17" customFormat="false" ht="15" hidden="false" customHeight="false" outlineLevel="0" collapsed="false">
      <c r="A17" s="3" t="n">
        <v>30000309</v>
      </c>
      <c r="B17" s="3" t="s">
        <v>200</v>
      </c>
      <c r="C17" s="3" t="s">
        <v>129</v>
      </c>
      <c r="D17" s="3" t="s">
        <v>187</v>
      </c>
      <c r="E17" s="3" t="s">
        <v>188</v>
      </c>
      <c r="F17" s="23" t="n">
        <v>35322</v>
      </c>
      <c r="G17" s="23" t="n">
        <v>42312</v>
      </c>
      <c r="H17" s="23" t="n">
        <v>25626</v>
      </c>
      <c r="I17" s="23" t="n">
        <v>45072</v>
      </c>
      <c r="J17" s="23" t="n">
        <v>43626</v>
      </c>
      <c r="K17" s="23" t="n">
        <v>37128</v>
      </c>
      <c r="L17" s="23" t="n">
        <v>26610</v>
      </c>
      <c r="M17" s="23" t="n">
        <v>33854.441260745</v>
      </c>
      <c r="N17" s="23" t="n">
        <v>39792</v>
      </c>
      <c r="O17" s="23" t="n">
        <v>25272.778</v>
      </c>
      <c r="P17" s="23" t="n">
        <v>43825.217</v>
      </c>
      <c r="Q17" s="23" t="n">
        <v>45633.7</v>
      </c>
      <c r="R17" s="23" t="n">
        <v>42205.3852620081</v>
      </c>
      <c r="S17" s="23" t="n">
        <v>39336.8409598742</v>
      </c>
    </row>
    <row r="18" customFormat="false" ht="15" hidden="false" customHeight="false" outlineLevel="0" collapsed="false">
      <c r="A18" s="3" t="n">
        <v>30002099</v>
      </c>
      <c r="B18" s="3" t="s">
        <v>201</v>
      </c>
      <c r="C18" s="3" t="s">
        <v>126</v>
      </c>
      <c r="D18" s="3" t="s">
        <v>187</v>
      </c>
      <c r="E18" s="3" t="s">
        <v>188</v>
      </c>
      <c r="F18" s="23" t="n">
        <v>86268</v>
      </c>
      <c r="G18" s="23" t="n">
        <v>22044</v>
      </c>
      <c r="H18" s="23" t="n">
        <v>70386</v>
      </c>
      <c r="I18" s="23" t="n">
        <v>17664</v>
      </c>
      <c r="J18" s="23" t="n">
        <v>8472</v>
      </c>
      <c r="K18" s="23" t="n">
        <v>23058</v>
      </c>
      <c r="L18" s="23" t="n">
        <v>54972</v>
      </c>
      <c r="M18" s="23" t="n">
        <v>46533.8123662081</v>
      </c>
      <c r="N18" s="23" t="n">
        <v>35600</v>
      </c>
      <c r="O18" s="23" t="n">
        <v>36848.03184</v>
      </c>
      <c r="P18" s="23" t="n">
        <v>21716.47584</v>
      </c>
      <c r="Q18" s="23" t="n">
        <v>40633.908</v>
      </c>
      <c r="R18" s="23" t="n">
        <v>28690.3873210317</v>
      </c>
      <c r="S18" s="23" t="n">
        <v>32058.3375411161</v>
      </c>
    </row>
    <row r="19" customFormat="false" ht="15" hidden="false" customHeight="false" outlineLevel="0" collapsed="false">
      <c r="A19" s="3" t="n">
        <v>30000481</v>
      </c>
      <c r="B19" s="3" t="s">
        <v>202</v>
      </c>
      <c r="C19" s="3" t="s">
        <v>129</v>
      </c>
      <c r="D19" s="3" t="s">
        <v>187</v>
      </c>
      <c r="E19" s="3" t="s">
        <v>188</v>
      </c>
      <c r="F19" s="23" t="n">
        <v>24348</v>
      </c>
      <c r="G19" s="23" t="n">
        <v>27444</v>
      </c>
      <c r="H19" s="23" t="n">
        <v>28728</v>
      </c>
      <c r="I19" s="23" t="n">
        <v>29424</v>
      </c>
      <c r="J19" s="23" t="n">
        <v>45000</v>
      </c>
      <c r="K19" s="23" t="n">
        <v>30864</v>
      </c>
      <c r="L19" s="23" t="n">
        <v>28392</v>
      </c>
      <c r="M19" s="23" t="n">
        <v>50900</v>
      </c>
      <c r="N19" s="23" t="n">
        <v>39600</v>
      </c>
      <c r="O19" s="23" t="n">
        <v>22800</v>
      </c>
      <c r="P19" s="23" t="n">
        <v>42300</v>
      </c>
      <c r="Q19" s="23" t="n">
        <v>35500</v>
      </c>
      <c r="R19" s="23" t="n">
        <v>38668.353681915</v>
      </c>
      <c r="S19" s="23" t="n">
        <v>39963.5660204392</v>
      </c>
    </row>
    <row r="20" customFormat="false" ht="15" hidden="false" customHeight="false" outlineLevel="0" collapsed="false">
      <c r="A20" s="3" t="n">
        <v>30002066</v>
      </c>
      <c r="B20" s="3" t="s">
        <v>203</v>
      </c>
      <c r="C20" s="3" t="s">
        <v>129</v>
      </c>
      <c r="D20" s="3" t="s">
        <v>187</v>
      </c>
      <c r="E20" s="3" t="s">
        <v>188</v>
      </c>
      <c r="F20" s="23" t="n">
        <v>18852</v>
      </c>
      <c r="G20" s="23" t="n">
        <v>33732</v>
      </c>
      <c r="H20" s="23" t="n">
        <v>12324</v>
      </c>
      <c r="I20" s="23" t="n">
        <v>28536</v>
      </c>
      <c r="J20" s="23" t="n">
        <v>27396</v>
      </c>
      <c r="K20" s="23" t="n">
        <v>40560</v>
      </c>
      <c r="L20" s="23" t="n">
        <v>9816</v>
      </c>
      <c r="M20" s="23" t="n">
        <v>12308</v>
      </c>
      <c r="N20" s="23" t="n">
        <v>8174</v>
      </c>
      <c r="O20" s="23" t="n">
        <v>7644.845</v>
      </c>
      <c r="P20" s="23" t="n">
        <v>17028.737</v>
      </c>
      <c r="Q20" s="23" t="n">
        <v>5601.9</v>
      </c>
      <c r="R20" s="23" t="n">
        <v>7897.0875669944</v>
      </c>
      <c r="S20" s="23" t="n">
        <v>31984.9444471416</v>
      </c>
    </row>
    <row r="21" customFormat="false" ht="15" hidden="false" customHeight="false" outlineLevel="0" collapsed="false">
      <c r="A21" s="3" t="n">
        <v>30000514</v>
      </c>
      <c r="B21" s="3" t="s">
        <v>204</v>
      </c>
      <c r="C21" s="3" t="s">
        <v>129</v>
      </c>
      <c r="D21" s="3" t="s">
        <v>187</v>
      </c>
      <c r="E21" s="3" t="s">
        <v>205</v>
      </c>
      <c r="F21" s="23" t="n">
        <v>24576</v>
      </c>
      <c r="G21" s="23" t="n">
        <v>19272</v>
      </c>
      <c r="H21" s="23" t="n">
        <v>18480</v>
      </c>
      <c r="I21" s="23" t="n">
        <v>17976</v>
      </c>
      <c r="J21" s="23" t="n">
        <v>34152</v>
      </c>
      <c r="K21" s="23" t="n">
        <v>23076</v>
      </c>
      <c r="L21" s="23" t="n">
        <v>18228</v>
      </c>
      <c r="M21" s="23" t="n">
        <v>28800</v>
      </c>
      <c r="N21" s="23" t="n">
        <v>26650</v>
      </c>
      <c r="O21" s="23" t="n">
        <v>13942.5</v>
      </c>
      <c r="P21" s="23" t="n">
        <v>22300.84</v>
      </c>
      <c r="Q21" s="23" t="n">
        <v>19799.6</v>
      </c>
      <c r="R21" s="23" t="n">
        <v>22862.4368299531</v>
      </c>
      <c r="S21" s="23" t="n">
        <v>22176.2329306675</v>
      </c>
    </row>
    <row r="22" customFormat="false" ht="15" hidden="false" customHeight="false" outlineLevel="0" collapsed="false">
      <c r="A22" s="3" t="n">
        <v>30002329</v>
      </c>
      <c r="B22" s="3" t="s">
        <v>206</v>
      </c>
      <c r="C22" s="3" t="s">
        <v>129</v>
      </c>
      <c r="D22" s="3" t="s">
        <v>187</v>
      </c>
      <c r="E22" s="3" t="s">
        <v>188</v>
      </c>
      <c r="F22" s="23" t="n">
        <v>20226</v>
      </c>
      <c r="G22" s="23" t="n">
        <v>30960</v>
      </c>
      <c r="H22" s="23" t="n">
        <v>13956</v>
      </c>
      <c r="I22" s="23" t="n">
        <v>19668</v>
      </c>
      <c r="J22" s="23" t="n">
        <v>26274</v>
      </c>
      <c r="K22" s="23" t="n">
        <v>23562</v>
      </c>
      <c r="L22" s="23" t="n">
        <v>26292</v>
      </c>
      <c r="M22" s="23" t="n">
        <v>22522</v>
      </c>
      <c r="N22" s="23" t="n">
        <v>19022</v>
      </c>
      <c r="O22" s="23" t="n">
        <v>17338</v>
      </c>
      <c r="P22" s="23" t="n">
        <v>22438</v>
      </c>
      <c r="Q22" s="23" t="n">
        <v>21782</v>
      </c>
      <c r="R22" s="23" t="n">
        <v>20121.086939072</v>
      </c>
      <c r="S22" s="23" t="n">
        <v>23916.5967792586</v>
      </c>
    </row>
    <row r="23" customFormat="false" ht="15" hidden="false" customHeight="false" outlineLevel="0" collapsed="false">
      <c r="A23" s="3" t="n">
        <v>30000305</v>
      </c>
      <c r="B23" s="3" t="s">
        <v>207</v>
      </c>
      <c r="C23" s="3" t="s">
        <v>129</v>
      </c>
      <c r="D23" s="3" t="s">
        <v>187</v>
      </c>
      <c r="E23" s="3" t="s">
        <v>188</v>
      </c>
      <c r="F23" s="23" t="n">
        <v>21414</v>
      </c>
      <c r="G23" s="23" t="n">
        <v>24024</v>
      </c>
      <c r="H23" s="23" t="n">
        <v>19176</v>
      </c>
      <c r="I23" s="23" t="n">
        <v>25428</v>
      </c>
      <c r="J23" s="23" t="n">
        <v>21576</v>
      </c>
      <c r="K23" s="23" t="n">
        <v>17100</v>
      </c>
      <c r="L23" s="23" t="n">
        <v>14352</v>
      </c>
      <c r="M23" s="23" t="n">
        <v>19401.0659025788</v>
      </c>
      <c r="N23" s="23" t="n">
        <v>20628</v>
      </c>
      <c r="O23" s="23" t="n">
        <v>14401.533</v>
      </c>
      <c r="P23" s="23" t="n">
        <v>24918.1488</v>
      </c>
      <c r="Q23" s="23" t="n">
        <v>23831.46</v>
      </c>
      <c r="R23" s="23" t="n">
        <v>21886.6633594348</v>
      </c>
      <c r="S23" s="23" t="n">
        <v>18303.5302139745</v>
      </c>
    </row>
    <row r="24" customFormat="false" ht="15" hidden="false" customHeight="false" outlineLevel="0" collapsed="false">
      <c r="A24" s="3" t="n">
        <v>30002315</v>
      </c>
      <c r="B24" s="3" t="s">
        <v>208</v>
      </c>
      <c r="C24" s="3" t="s">
        <v>129</v>
      </c>
      <c r="D24" s="3" t="s">
        <v>187</v>
      </c>
      <c r="E24" s="3" t="s">
        <v>209</v>
      </c>
      <c r="F24" s="23" t="n">
        <v>12288</v>
      </c>
      <c r="G24" s="23" t="n">
        <v>24768</v>
      </c>
      <c r="H24" s="23" t="n">
        <v>18444</v>
      </c>
      <c r="I24" s="23" t="n">
        <v>22536</v>
      </c>
      <c r="J24" s="23" t="n">
        <v>16944</v>
      </c>
      <c r="K24" s="23" t="n">
        <v>15756</v>
      </c>
      <c r="L24" s="23" t="n">
        <v>24444</v>
      </c>
      <c r="M24" s="23" t="n">
        <v>13370</v>
      </c>
      <c r="N24" s="23" t="n">
        <v>12076</v>
      </c>
      <c r="O24" s="23" t="n">
        <v>7900</v>
      </c>
      <c r="P24" s="23" t="n">
        <v>13476</v>
      </c>
      <c r="Q24" s="23" t="n">
        <v>18926</v>
      </c>
      <c r="R24" s="23" t="n">
        <v>13066.4179562293</v>
      </c>
      <c r="S24" s="23" t="n">
        <v>18494.1373510106</v>
      </c>
    </row>
    <row r="25" customFormat="false" ht="15" hidden="false" customHeight="false" outlineLevel="0" collapsed="false">
      <c r="A25" s="3" t="n">
        <v>30000384</v>
      </c>
      <c r="B25" s="3" t="s">
        <v>210</v>
      </c>
      <c r="C25" s="3" t="s">
        <v>124</v>
      </c>
      <c r="D25" s="3" t="s">
        <v>187</v>
      </c>
      <c r="E25" s="3" t="s">
        <v>188</v>
      </c>
      <c r="F25" s="23" t="n">
        <v>16434</v>
      </c>
      <c r="G25" s="23" t="n">
        <v>12894</v>
      </c>
      <c r="H25" s="23" t="n">
        <v>24264</v>
      </c>
      <c r="I25" s="23" t="n">
        <v>18756</v>
      </c>
      <c r="J25" s="23" t="n">
        <v>24594</v>
      </c>
      <c r="K25" s="23" t="n">
        <v>13158</v>
      </c>
      <c r="L25" s="23" t="n">
        <v>15786</v>
      </c>
      <c r="M25" s="23" t="n">
        <v>20100</v>
      </c>
      <c r="N25" s="23" t="n">
        <v>19500</v>
      </c>
      <c r="O25" s="23" t="n">
        <v>11837.93</v>
      </c>
      <c r="P25" s="23" t="n">
        <v>22608.53</v>
      </c>
      <c r="Q25" s="23" t="n">
        <v>16813.88</v>
      </c>
      <c r="R25" s="23" t="n">
        <v>21699.504472687</v>
      </c>
      <c r="S25" s="23" t="n">
        <v>21293.4492940375</v>
      </c>
    </row>
    <row r="26" customFormat="false" ht="15" hidden="false" customHeight="false" outlineLevel="0" collapsed="false">
      <c r="A26" s="3" t="n">
        <v>30001409</v>
      </c>
      <c r="B26" s="3" t="s">
        <v>211</v>
      </c>
      <c r="C26" s="3" t="s">
        <v>128</v>
      </c>
      <c r="D26" s="3" t="s">
        <v>187</v>
      </c>
      <c r="E26" s="3" t="s">
        <v>188</v>
      </c>
      <c r="F26" s="23" t="n">
        <v>12597</v>
      </c>
      <c r="G26" s="23" t="n">
        <v>17000</v>
      </c>
      <c r="H26" s="23" t="n">
        <v>10234</v>
      </c>
      <c r="I26" s="23" t="n">
        <v>16898</v>
      </c>
      <c r="J26" s="23" t="n">
        <v>15283</v>
      </c>
      <c r="K26" s="23" t="n">
        <v>17884</v>
      </c>
      <c r="L26" s="23" t="n">
        <v>8789</v>
      </c>
      <c r="M26" s="23" t="n">
        <v>21317</v>
      </c>
      <c r="N26" s="23" t="n">
        <v>19130</v>
      </c>
      <c r="O26" s="23" t="n">
        <v>14752.1765</v>
      </c>
      <c r="P26" s="23" t="n">
        <v>16516.6765</v>
      </c>
      <c r="Q26" s="23" t="n">
        <v>17073.06</v>
      </c>
      <c r="R26" s="23" t="n">
        <v>17711.4094823844</v>
      </c>
      <c r="S26" s="23" t="n">
        <v>15985.9579971916</v>
      </c>
    </row>
    <row r="27" customFormat="false" ht="15" hidden="false" customHeight="false" outlineLevel="0" collapsed="false">
      <c r="A27" s="3" t="n">
        <v>30000254</v>
      </c>
      <c r="B27" s="3" t="s">
        <v>212</v>
      </c>
      <c r="C27" s="3" t="s">
        <v>126</v>
      </c>
      <c r="D27" s="3" t="s">
        <v>187</v>
      </c>
      <c r="E27" s="3" t="s">
        <v>188</v>
      </c>
      <c r="F27" s="23" t="n">
        <v>13116</v>
      </c>
      <c r="G27" s="23" t="n">
        <v>23382</v>
      </c>
      <c r="H27" s="23" t="n">
        <v>11388</v>
      </c>
      <c r="I27" s="23" t="n">
        <v>11226</v>
      </c>
      <c r="J27" s="23" t="n">
        <v>7806</v>
      </c>
      <c r="K27" s="23" t="n">
        <v>20304</v>
      </c>
      <c r="L27" s="23" t="n">
        <v>13206</v>
      </c>
      <c r="M27" s="23" t="n">
        <v>12891.2338770603</v>
      </c>
      <c r="N27" s="23" t="n">
        <v>11470</v>
      </c>
      <c r="O27" s="23" t="n">
        <v>12620.7428</v>
      </c>
      <c r="P27" s="23" t="n">
        <v>14543.3128</v>
      </c>
      <c r="Q27" s="23" t="n">
        <v>13806.34</v>
      </c>
      <c r="R27" s="23" t="n">
        <v>20230.2684080137</v>
      </c>
      <c r="S27" s="23" t="n">
        <v>13927.3880034788</v>
      </c>
    </row>
    <row r="28" customFormat="false" ht="15" hidden="false" customHeight="false" outlineLevel="0" collapsed="false">
      <c r="A28" s="3" t="n">
        <v>30001684</v>
      </c>
      <c r="B28" s="3" t="s">
        <v>213</v>
      </c>
      <c r="C28" s="3" t="s">
        <v>126</v>
      </c>
      <c r="D28" s="3" t="s">
        <v>187</v>
      </c>
      <c r="E28" s="3" t="s">
        <v>214</v>
      </c>
      <c r="F28" s="23" t="n">
        <v>10674</v>
      </c>
      <c r="G28" s="23" t="n">
        <v>17142</v>
      </c>
      <c r="H28" s="23" t="n">
        <v>10866</v>
      </c>
      <c r="I28" s="23" t="n">
        <v>16056</v>
      </c>
      <c r="J28" s="23" t="n">
        <v>10566</v>
      </c>
      <c r="K28" s="23" t="n">
        <v>18330</v>
      </c>
      <c r="L28" s="23" t="n">
        <v>9312</v>
      </c>
      <c r="M28" s="23" t="n">
        <v>14500</v>
      </c>
      <c r="N28" s="23" t="n">
        <v>13000</v>
      </c>
      <c r="O28" s="23" t="n">
        <v>10490</v>
      </c>
      <c r="P28" s="23" t="n">
        <v>16690</v>
      </c>
      <c r="Q28" s="23" t="n">
        <v>15128</v>
      </c>
      <c r="R28" s="23" t="n">
        <v>21556.7470800718</v>
      </c>
      <c r="S28" s="23" t="n">
        <v>16310.5325101911</v>
      </c>
    </row>
    <row r="29" customFormat="false" ht="15" hidden="false" customHeight="false" outlineLevel="0" collapsed="false">
      <c r="A29" s="3" t="n">
        <v>30002330</v>
      </c>
      <c r="B29" s="3" t="s">
        <v>215</v>
      </c>
      <c r="C29" s="3" t="s">
        <v>129</v>
      </c>
      <c r="D29" s="3" t="s">
        <v>187</v>
      </c>
      <c r="E29" s="3" t="s">
        <v>188</v>
      </c>
      <c r="F29" s="23" t="n">
        <v>11244</v>
      </c>
      <c r="G29" s="23" t="n">
        <v>13464</v>
      </c>
      <c r="H29" s="23" t="n">
        <v>9540</v>
      </c>
      <c r="I29" s="23" t="n">
        <v>22866</v>
      </c>
      <c r="J29" s="23" t="n">
        <v>16848</v>
      </c>
      <c r="K29" s="23" t="n">
        <v>8700</v>
      </c>
      <c r="L29" s="23" t="n">
        <v>9852</v>
      </c>
      <c r="M29" s="23" t="n">
        <v>11214</v>
      </c>
      <c r="N29" s="23" t="n">
        <v>7350</v>
      </c>
      <c r="O29" s="23" t="n">
        <v>6112</v>
      </c>
      <c r="P29" s="23" t="n">
        <v>11462</v>
      </c>
      <c r="Q29" s="23" t="n">
        <v>10910</v>
      </c>
      <c r="R29" s="23" t="n">
        <v>12385.7276297603</v>
      </c>
      <c r="S29" s="23" t="n">
        <v>12316.1324749304</v>
      </c>
    </row>
    <row r="30" customFormat="false" ht="15" hidden="false" customHeight="false" outlineLevel="0" collapsed="false">
      <c r="A30" s="3" t="n">
        <v>30000516</v>
      </c>
      <c r="B30" s="3" t="s">
        <v>216</v>
      </c>
      <c r="C30" s="3" t="s">
        <v>129</v>
      </c>
      <c r="D30" s="3" t="s">
        <v>187</v>
      </c>
      <c r="E30" s="3" t="s">
        <v>205</v>
      </c>
      <c r="F30" s="23" t="n">
        <v>13584</v>
      </c>
      <c r="G30" s="23" t="n">
        <v>11520</v>
      </c>
      <c r="H30" s="23" t="n">
        <v>11628</v>
      </c>
      <c r="I30" s="23" t="n">
        <v>11208</v>
      </c>
      <c r="J30" s="23" t="n">
        <v>15708</v>
      </c>
      <c r="K30" s="23" t="n">
        <v>13248</v>
      </c>
      <c r="L30" s="23" t="n">
        <v>9156</v>
      </c>
      <c r="M30" s="23" t="n">
        <v>16562</v>
      </c>
      <c r="N30" s="23" t="n">
        <v>14462</v>
      </c>
      <c r="O30" s="23" t="n">
        <v>10255.99</v>
      </c>
      <c r="P30" s="23" t="n">
        <v>15785.36</v>
      </c>
      <c r="Q30" s="23" t="n">
        <v>12640.4</v>
      </c>
      <c r="R30" s="23" t="n">
        <v>13982.0159017021</v>
      </c>
      <c r="S30" s="23" t="n">
        <v>14007.3357948665</v>
      </c>
    </row>
    <row r="31" customFormat="false" ht="15" hidden="false" customHeight="false" outlineLevel="0" collapsed="false">
      <c r="A31" s="3" t="n">
        <v>30002177</v>
      </c>
      <c r="B31" s="3" t="s">
        <v>217</v>
      </c>
      <c r="C31" s="3" t="s">
        <v>130</v>
      </c>
      <c r="D31" s="3" t="s">
        <v>187</v>
      </c>
      <c r="E31" s="3" t="s">
        <v>188</v>
      </c>
      <c r="F31" s="23" t="n">
        <v>13128.4</v>
      </c>
      <c r="G31" s="23" t="n">
        <v>13855.2</v>
      </c>
      <c r="H31" s="23" t="n">
        <v>6909.2</v>
      </c>
      <c r="I31" s="23" t="n">
        <v>16238</v>
      </c>
      <c r="J31" s="23" t="n">
        <v>10929.6</v>
      </c>
      <c r="K31" s="23" t="n">
        <v>12714.4</v>
      </c>
      <c r="L31" s="23" t="n">
        <v>5299.2</v>
      </c>
      <c r="M31" s="23" t="n">
        <v>20201.2</v>
      </c>
      <c r="N31" s="23" t="n">
        <v>14801.2</v>
      </c>
      <c r="O31" s="23" t="n">
        <v>10301.2</v>
      </c>
      <c r="P31" s="23" t="n">
        <v>12701.2</v>
      </c>
      <c r="Q31" s="23" t="n">
        <v>11239.6</v>
      </c>
      <c r="R31" s="23" t="n">
        <v>14674.3982926305</v>
      </c>
      <c r="S31" s="23" t="n">
        <v>10508.6210312457</v>
      </c>
    </row>
    <row r="32" customFormat="false" ht="15" hidden="false" customHeight="false" outlineLevel="0" collapsed="false">
      <c r="A32" s="3" t="n">
        <v>30000206</v>
      </c>
      <c r="B32" s="3" t="s">
        <v>218</v>
      </c>
      <c r="C32" s="3" t="s">
        <v>126</v>
      </c>
      <c r="D32" s="3" t="s">
        <v>187</v>
      </c>
      <c r="E32" s="3" t="s">
        <v>188</v>
      </c>
      <c r="F32" s="23" t="n">
        <v>13818</v>
      </c>
      <c r="G32" s="23" t="n">
        <v>17604</v>
      </c>
      <c r="H32" s="23" t="n">
        <v>8616</v>
      </c>
      <c r="I32" s="23" t="n">
        <v>11616</v>
      </c>
      <c r="J32" s="23" t="n">
        <v>8418</v>
      </c>
      <c r="K32" s="23" t="n">
        <v>12156</v>
      </c>
      <c r="L32" s="23" t="n">
        <v>8676</v>
      </c>
      <c r="M32" s="23" t="n">
        <v>14620.6654367652</v>
      </c>
      <c r="N32" s="23" t="n">
        <v>12800</v>
      </c>
      <c r="O32" s="23" t="n">
        <v>10412.5296</v>
      </c>
      <c r="P32" s="23" t="n">
        <v>11557.5696</v>
      </c>
      <c r="Q32" s="23" t="n">
        <v>12135.7</v>
      </c>
      <c r="R32" s="23" t="n">
        <v>13376.7628332148</v>
      </c>
      <c r="S32" s="23" t="n">
        <v>12425.97627954</v>
      </c>
    </row>
    <row r="33" customFormat="false" ht="15" hidden="false" customHeight="false" outlineLevel="0" collapsed="false">
      <c r="A33" s="3" t="n">
        <v>30000300</v>
      </c>
      <c r="B33" s="3" t="s">
        <v>219</v>
      </c>
      <c r="C33" s="3" t="s">
        <v>129</v>
      </c>
      <c r="D33" s="3" t="s">
        <v>187</v>
      </c>
      <c r="E33" s="3" t="s">
        <v>188</v>
      </c>
      <c r="F33" s="23" t="n">
        <v>11262</v>
      </c>
      <c r="G33" s="23" t="n">
        <v>17202</v>
      </c>
      <c r="H33" s="23" t="n">
        <v>12276</v>
      </c>
      <c r="I33" s="23" t="n">
        <v>11352</v>
      </c>
      <c r="J33" s="23" t="n">
        <v>9996</v>
      </c>
      <c r="K33" s="23" t="n">
        <v>7908</v>
      </c>
      <c r="L33" s="23" t="n">
        <v>4656</v>
      </c>
      <c r="M33" s="23" t="n">
        <v>9383.0654449522</v>
      </c>
      <c r="N33" s="23" t="n">
        <v>9583.0654449522</v>
      </c>
      <c r="O33" s="23" t="n">
        <v>6924.286</v>
      </c>
      <c r="P33" s="23" t="n">
        <v>11347.4</v>
      </c>
      <c r="Q33" s="23" t="n">
        <v>10736.1</v>
      </c>
      <c r="R33" s="23" t="n">
        <v>9976.81366329054</v>
      </c>
      <c r="S33" s="23" t="n">
        <v>8994.51800708669</v>
      </c>
    </row>
    <row r="34" customFormat="false" ht="15" hidden="false" customHeight="false" outlineLevel="0" collapsed="false">
      <c r="A34" s="3" t="n">
        <v>30001977</v>
      </c>
      <c r="B34" s="3" t="s">
        <v>220</v>
      </c>
      <c r="C34" s="3" t="s">
        <v>129</v>
      </c>
      <c r="D34" s="3" t="s">
        <v>187</v>
      </c>
      <c r="E34" s="3" t="s">
        <v>205</v>
      </c>
      <c r="F34" s="23" t="n">
        <v>9996</v>
      </c>
      <c r="G34" s="23" t="n">
        <v>14940</v>
      </c>
      <c r="H34" s="23" t="n">
        <v>14196</v>
      </c>
      <c r="I34" s="23" t="n">
        <v>15174</v>
      </c>
      <c r="J34" s="23" t="n">
        <v>7914</v>
      </c>
      <c r="K34" s="23" t="n">
        <v>7482</v>
      </c>
      <c r="L34" s="23" t="n">
        <v>4428</v>
      </c>
      <c r="M34" s="23" t="n">
        <v>8050</v>
      </c>
      <c r="N34" s="23" t="n">
        <v>7400</v>
      </c>
      <c r="O34" s="23" t="n">
        <v>5172.07</v>
      </c>
      <c r="P34" s="23" t="n">
        <v>12862.09</v>
      </c>
      <c r="Q34" s="23" t="n">
        <v>14935.3</v>
      </c>
      <c r="R34" s="23" t="n">
        <v>8894.43534111938</v>
      </c>
      <c r="S34" s="23" t="n">
        <v>9596.14175196623</v>
      </c>
    </row>
    <row r="35" customFormat="false" ht="15" hidden="false" customHeight="false" outlineLevel="0" collapsed="false">
      <c r="A35" s="3" t="n">
        <v>30000398</v>
      </c>
      <c r="B35" s="3" t="s">
        <v>221</v>
      </c>
      <c r="C35" s="3" t="s">
        <v>129</v>
      </c>
      <c r="D35" s="3" t="s">
        <v>187</v>
      </c>
      <c r="E35" s="3" t="s">
        <v>205</v>
      </c>
      <c r="F35" s="23" t="n">
        <v>8256</v>
      </c>
      <c r="G35" s="23" t="n">
        <v>13734</v>
      </c>
      <c r="H35" s="23" t="n">
        <v>9840</v>
      </c>
      <c r="I35" s="23" t="n">
        <v>10638</v>
      </c>
      <c r="J35" s="23" t="n">
        <v>12246</v>
      </c>
      <c r="K35" s="23" t="n">
        <v>11910</v>
      </c>
      <c r="L35" s="23" t="n">
        <v>4098</v>
      </c>
      <c r="M35" s="23" t="n">
        <v>10000</v>
      </c>
      <c r="N35" s="23" t="n">
        <v>8600</v>
      </c>
      <c r="O35" s="23" t="n">
        <v>6609.3</v>
      </c>
      <c r="P35" s="23" t="n">
        <v>10806.4854</v>
      </c>
      <c r="Q35" s="23" t="n">
        <v>10006.4854</v>
      </c>
      <c r="R35" s="23" t="n">
        <v>9647.54664775102</v>
      </c>
      <c r="S35" s="23" t="n">
        <v>9227.04322057516</v>
      </c>
    </row>
    <row r="36" customFormat="false" ht="15" hidden="false" customHeight="false" outlineLevel="0" collapsed="false">
      <c r="A36" s="3" t="n">
        <v>30000207</v>
      </c>
      <c r="B36" s="3" t="s">
        <v>222</v>
      </c>
      <c r="C36" s="3" t="s">
        <v>126</v>
      </c>
      <c r="D36" s="3" t="s">
        <v>187</v>
      </c>
      <c r="E36" s="3" t="s">
        <v>188</v>
      </c>
      <c r="F36" s="23" t="n">
        <v>13638</v>
      </c>
      <c r="G36" s="23" t="n">
        <v>10656</v>
      </c>
      <c r="H36" s="23" t="n">
        <v>7824</v>
      </c>
      <c r="I36" s="23" t="n">
        <v>10674</v>
      </c>
      <c r="J36" s="23" t="n">
        <v>10980</v>
      </c>
      <c r="K36" s="23" t="n">
        <v>5982</v>
      </c>
      <c r="L36" s="23" t="n">
        <v>5802</v>
      </c>
      <c r="M36" s="23" t="n">
        <v>11726.1006861745</v>
      </c>
      <c r="N36" s="23" t="n">
        <v>11530</v>
      </c>
      <c r="O36" s="23" t="n">
        <v>8230.0576</v>
      </c>
      <c r="P36" s="23" t="n">
        <v>10062.4176</v>
      </c>
      <c r="Q36" s="23" t="n">
        <v>9977.26</v>
      </c>
      <c r="R36" s="23" t="n">
        <v>9842.01277204082</v>
      </c>
      <c r="S36" s="23" t="n">
        <v>9399.13618705677</v>
      </c>
    </row>
    <row r="37" customFormat="false" ht="15" hidden="false" customHeight="false" outlineLevel="0" collapsed="false">
      <c r="A37" s="3" t="n">
        <v>30001404</v>
      </c>
      <c r="B37" s="3" t="s">
        <v>223</v>
      </c>
      <c r="C37" s="3" t="s">
        <v>129</v>
      </c>
      <c r="D37" s="3" t="s">
        <v>187</v>
      </c>
      <c r="E37" s="3" t="s">
        <v>205</v>
      </c>
      <c r="F37" s="23" t="n">
        <v>8307</v>
      </c>
      <c r="G37" s="23" t="n">
        <v>10602</v>
      </c>
      <c r="H37" s="23" t="n">
        <v>8703</v>
      </c>
      <c r="I37" s="23" t="n">
        <v>9819</v>
      </c>
      <c r="J37" s="23" t="n">
        <v>9414</v>
      </c>
      <c r="K37" s="23" t="n">
        <v>10818</v>
      </c>
      <c r="L37" s="23" t="n">
        <v>4329</v>
      </c>
      <c r="M37" s="23" t="n">
        <v>9366.5</v>
      </c>
      <c r="N37" s="23" t="n">
        <v>8766.5</v>
      </c>
      <c r="O37" s="23" t="n">
        <v>5877.67</v>
      </c>
      <c r="P37" s="23" t="n">
        <v>8528.25575</v>
      </c>
      <c r="Q37" s="23" t="n">
        <v>9545.69</v>
      </c>
      <c r="R37" s="23" t="n">
        <v>9652.17239049695</v>
      </c>
      <c r="S37" s="23" t="n">
        <v>9534.43699135592</v>
      </c>
    </row>
    <row r="38" customFormat="false" ht="15" hidden="false" customHeight="false" outlineLevel="0" collapsed="false">
      <c r="A38" s="3" t="n">
        <v>30000318</v>
      </c>
      <c r="B38" s="3" t="s">
        <v>224</v>
      </c>
      <c r="C38" s="3" t="s">
        <v>129</v>
      </c>
      <c r="D38" s="3" t="s">
        <v>187</v>
      </c>
      <c r="E38" s="3" t="s">
        <v>188</v>
      </c>
      <c r="F38" s="23" t="n">
        <v>7584</v>
      </c>
      <c r="G38" s="23" t="n">
        <v>10770</v>
      </c>
      <c r="H38" s="23" t="n">
        <v>11382</v>
      </c>
      <c r="I38" s="23" t="n">
        <v>7950</v>
      </c>
      <c r="J38" s="23" t="n">
        <v>11214</v>
      </c>
      <c r="K38" s="23" t="n">
        <v>8736</v>
      </c>
      <c r="L38" s="23" t="n">
        <v>4632</v>
      </c>
      <c r="M38" s="23" t="n">
        <v>9659.35816618911</v>
      </c>
      <c r="N38" s="23" t="n">
        <v>8598</v>
      </c>
      <c r="O38" s="23" t="n">
        <v>6465.874</v>
      </c>
      <c r="P38" s="23" t="n">
        <v>11169.83</v>
      </c>
      <c r="Q38" s="23" t="n">
        <v>12689.42</v>
      </c>
      <c r="R38" s="23" t="n">
        <v>8688.66018855975</v>
      </c>
      <c r="S38" s="23" t="n">
        <v>9486.77748830434</v>
      </c>
    </row>
    <row r="39" customFormat="false" ht="15" hidden="false" customHeight="false" outlineLevel="0" collapsed="false">
      <c r="A39" s="3" t="n">
        <v>30002065</v>
      </c>
      <c r="B39" s="3" t="s">
        <v>225</v>
      </c>
      <c r="C39" s="3" t="s">
        <v>129</v>
      </c>
      <c r="D39" s="3" t="s">
        <v>187</v>
      </c>
      <c r="E39" s="3" t="s">
        <v>188</v>
      </c>
      <c r="F39" s="23" t="n">
        <v>6672</v>
      </c>
      <c r="G39" s="23" t="n">
        <v>16764</v>
      </c>
      <c r="H39" s="23" t="n">
        <v>8184</v>
      </c>
      <c r="I39" s="23" t="n">
        <v>11592</v>
      </c>
      <c r="J39" s="23" t="n">
        <v>4548</v>
      </c>
      <c r="K39" s="23" t="n">
        <v>4560</v>
      </c>
      <c r="L39" s="23" t="n">
        <v>6996</v>
      </c>
      <c r="M39" s="23" t="n">
        <v>12882</v>
      </c>
      <c r="N39" s="23" t="n">
        <v>7434</v>
      </c>
      <c r="O39" s="23" t="n">
        <v>8930.625</v>
      </c>
      <c r="P39" s="23" t="n">
        <v>8512.8254</v>
      </c>
      <c r="Q39" s="23" t="n">
        <v>6615.23</v>
      </c>
      <c r="R39" s="23" t="n">
        <v>6986.55456674345</v>
      </c>
      <c r="S39" s="23" t="n">
        <v>11763.9264703399</v>
      </c>
    </row>
    <row r="40" customFormat="false" ht="15" hidden="false" customHeight="false" outlineLevel="0" collapsed="false">
      <c r="A40" s="3" t="n">
        <v>30002230</v>
      </c>
      <c r="B40" s="3" t="s">
        <v>226</v>
      </c>
      <c r="C40" s="3" t="s">
        <v>126</v>
      </c>
      <c r="D40" s="3" t="s">
        <v>187</v>
      </c>
      <c r="E40" s="3" t="s">
        <v>188</v>
      </c>
      <c r="F40" s="23" t="n">
        <v>5175</v>
      </c>
      <c r="G40" s="23" t="n">
        <v>0</v>
      </c>
      <c r="H40" s="23" t="n">
        <v>6900</v>
      </c>
      <c r="I40" s="23" t="n">
        <v>19665</v>
      </c>
      <c r="J40" s="23" t="n">
        <v>9775</v>
      </c>
      <c r="K40" s="23" t="n">
        <v>9775</v>
      </c>
      <c r="L40" s="23" t="n">
        <v>57.5</v>
      </c>
      <c r="M40" s="23" t="n">
        <v>1060.84</v>
      </c>
      <c r="N40" s="23" t="n">
        <v>5260.84</v>
      </c>
      <c r="O40" s="23" t="n">
        <v>6060.84</v>
      </c>
      <c r="P40" s="23" t="n">
        <v>11057.5</v>
      </c>
      <c r="Q40" s="23" t="n">
        <v>8077.05</v>
      </c>
      <c r="R40" s="23" t="n">
        <v>3578.05708333333</v>
      </c>
      <c r="S40" s="23" t="n">
        <v>6078.81239583333</v>
      </c>
    </row>
    <row r="41" customFormat="false" ht="15" hidden="false" customHeight="false" outlineLevel="0" collapsed="false">
      <c r="A41" s="3" t="n">
        <v>30000347</v>
      </c>
      <c r="B41" s="3" t="s">
        <v>227</v>
      </c>
      <c r="C41" s="3" t="s">
        <v>124</v>
      </c>
      <c r="D41" s="3" t="s">
        <v>187</v>
      </c>
      <c r="E41" s="3" t="s">
        <v>188</v>
      </c>
      <c r="F41" s="23" t="n">
        <v>8406</v>
      </c>
      <c r="G41" s="23" t="n">
        <v>10944</v>
      </c>
      <c r="H41" s="23" t="n">
        <v>4956</v>
      </c>
      <c r="I41" s="23" t="n">
        <v>6534</v>
      </c>
      <c r="J41" s="23" t="n">
        <v>12498</v>
      </c>
      <c r="K41" s="23" t="n">
        <v>5700</v>
      </c>
      <c r="L41" s="23" t="n">
        <v>7446</v>
      </c>
      <c r="M41" s="23" t="n">
        <v>10728</v>
      </c>
      <c r="N41" s="23" t="n">
        <v>11518</v>
      </c>
      <c r="O41" s="23" t="n">
        <v>6836</v>
      </c>
      <c r="P41" s="23" t="n">
        <v>10218</v>
      </c>
      <c r="Q41" s="23" t="n">
        <v>8018</v>
      </c>
      <c r="R41" s="23" t="n">
        <v>9137.2440421152</v>
      </c>
      <c r="S41" s="23" t="n">
        <v>9517.72615247788</v>
      </c>
    </row>
    <row r="42" customFormat="false" ht="15" hidden="false" customHeight="false" outlineLevel="0" collapsed="false">
      <c r="A42" s="3" t="n">
        <v>30001715</v>
      </c>
      <c r="B42" s="3" t="s">
        <v>228</v>
      </c>
      <c r="C42" s="3" t="s">
        <v>128</v>
      </c>
      <c r="D42" s="3" t="s">
        <v>187</v>
      </c>
      <c r="E42" s="3" t="s">
        <v>205</v>
      </c>
      <c r="F42" s="23" t="n">
        <v>12418.4</v>
      </c>
      <c r="G42" s="23" t="n">
        <v>11050.4</v>
      </c>
      <c r="H42" s="23" t="n">
        <v>2667.6</v>
      </c>
      <c r="I42" s="23" t="n">
        <v>6543.6</v>
      </c>
      <c r="J42" s="23" t="n">
        <v>5616.4</v>
      </c>
      <c r="K42" s="23" t="n">
        <v>9021.2</v>
      </c>
      <c r="L42" s="23" t="n">
        <v>2401.6</v>
      </c>
      <c r="M42" s="23" t="n">
        <v>3219.2</v>
      </c>
      <c r="N42" s="23" t="n">
        <v>15154.8</v>
      </c>
      <c r="O42" s="23" t="n">
        <v>10100</v>
      </c>
      <c r="P42" s="23" t="n">
        <v>11600</v>
      </c>
      <c r="Q42" s="23" t="n">
        <v>10972</v>
      </c>
      <c r="R42" s="23" t="n">
        <v>7332.85403816818</v>
      </c>
      <c r="S42" s="23" t="n">
        <v>5658.81814511947</v>
      </c>
    </row>
    <row r="43" customFormat="false" ht="15" hidden="false" customHeight="false" outlineLevel="0" collapsed="false">
      <c r="A43" s="3" t="n">
        <v>30001410</v>
      </c>
      <c r="B43" s="3" t="s">
        <v>229</v>
      </c>
      <c r="C43" s="3" t="s">
        <v>128</v>
      </c>
      <c r="D43" s="3" t="s">
        <v>187</v>
      </c>
      <c r="E43" s="3" t="s">
        <v>205</v>
      </c>
      <c r="F43" s="23" t="n">
        <v>10333.44</v>
      </c>
      <c r="G43" s="23" t="n">
        <v>8631.36</v>
      </c>
      <c r="H43" s="23" t="n">
        <v>4743.36</v>
      </c>
      <c r="I43" s="23" t="n">
        <v>7344</v>
      </c>
      <c r="J43" s="23" t="n">
        <v>9434.88</v>
      </c>
      <c r="K43" s="23" t="n">
        <v>4527.36</v>
      </c>
      <c r="L43" s="23" t="n">
        <v>4078.08</v>
      </c>
      <c r="M43" s="23" t="n">
        <v>6888.8</v>
      </c>
      <c r="N43" s="23" t="n">
        <v>9267.84</v>
      </c>
      <c r="O43" s="23" t="n">
        <v>4788.87425</v>
      </c>
      <c r="P43" s="23" t="n">
        <v>5000.90425</v>
      </c>
      <c r="Q43" s="23" t="n">
        <v>5972.56</v>
      </c>
      <c r="R43" s="23" t="n">
        <v>7033.77210119388</v>
      </c>
      <c r="S43" s="23" t="n">
        <v>6105.59416476561</v>
      </c>
    </row>
    <row r="44" customFormat="false" ht="15" hidden="false" customHeight="false" outlineLevel="0" collapsed="false">
      <c r="A44" s="3" t="n">
        <v>30001423</v>
      </c>
      <c r="B44" s="3" t="s">
        <v>230</v>
      </c>
      <c r="C44" s="3" t="s">
        <v>129</v>
      </c>
      <c r="D44" s="3" t="s">
        <v>187</v>
      </c>
      <c r="E44" s="3" t="s">
        <v>188</v>
      </c>
      <c r="F44" s="23" t="n">
        <v>7011</v>
      </c>
      <c r="G44" s="23" t="n">
        <v>9517.5</v>
      </c>
      <c r="H44" s="23" t="n">
        <v>6880.5</v>
      </c>
      <c r="I44" s="23" t="n">
        <v>6223.5</v>
      </c>
      <c r="J44" s="23" t="n">
        <v>6799.5</v>
      </c>
      <c r="K44" s="23" t="n">
        <v>6849</v>
      </c>
      <c r="L44" s="23" t="n">
        <v>4666.5</v>
      </c>
      <c r="M44" s="23" t="n">
        <v>7698</v>
      </c>
      <c r="N44" s="23" t="n">
        <v>6302.5</v>
      </c>
      <c r="O44" s="23" t="n">
        <v>4709</v>
      </c>
      <c r="P44" s="23" t="n">
        <v>8475.5</v>
      </c>
      <c r="Q44" s="23" t="n">
        <v>7985.5</v>
      </c>
      <c r="R44" s="23" t="n">
        <v>7355.63163986829</v>
      </c>
      <c r="S44" s="23" t="n">
        <v>6293.79668725356</v>
      </c>
    </row>
    <row r="45" customFormat="false" ht="15" hidden="false" customHeight="false" outlineLevel="0" collapsed="false">
      <c r="A45" s="3" t="n">
        <v>30000306</v>
      </c>
      <c r="B45" s="3" t="s">
        <v>231</v>
      </c>
      <c r="C45" s="3" t="s">
        <v>129</v>
      </c>
      <c r="D45" s="3" t="s">
        <v>187</v>
      </c>
      <c r="E45" s="3" t="s">
        <v>188</v>
      </c>
      <c r="F45" s="23" t="n">
        <v>5382</v>
      </c>
      <c r="G45" s="23" t="n">
        <v>7950</v>
      </c>
      <c r="H45" s="23" t="n">
        <v>8406</v>
      </c>
      <c r="I45" s="23" t="n">
        <v>6750</v>
      </c>
      <c r="J45" s="23" t="n">
        <v>6978</v>
      </c>
      <c r="K45" s="23" t="n">
        <v>7464</v>
      </c>
      <c r="L45" s="23" t="n">
        <v>6006</v>
      </c>
      <c r="M45" s="23" t="n">
        <v>7445.07580098984</v>
      </c>
      <c r="N45" s="23" t="n">
        <v>7424</v>
      </c>
      <c r="O45" s="23" t="n">
        <v>6554.744</v>
      </c>
      <c r="P45" s="23" t="n">
        <v>10132.1382</v>
      </c>
      <c r="Q45" s="23" t="n">
        <v>9927.9</v>
      </c>
      <c r="R45" s="23" t="n">
        <v>6444.54389317566</v>
      </c>
      <c r="S45" s="23" t="n">
        <v>8168.36108195785</v>
      </c>
    </row>
    <row r="46" customFormat="false" ht="15" hidden="false" customHeight="false" outlineLevel="0" collapsed="false">
      <c r="A46" s="3" t="n">
        <v>30000010</v>
      </c>
      <c r="B46" s="3" t="s">
        <v>232</v>
      </c>
      <c r="C46" s="3" t="s">
        <v>129</v>
      </c>
      <c r="D46" s="3" t="s">
        <v>187</v>
      </c>
      <c r="E46" s="3" t="s">
        <v>205</v>
      </c>
      <c r="F46" s="23" t="n">
        <v>5004</v>
      </c>
      <c r="G46" s="23" t="n">
        <v>11424</v>
      </c>
      <c r="H46" s="23" t="n">
        <v>8436</v>
      </c>
      <c r="I46" s="23" t="n">
        <v>7728</v>
      </c>
      <c r="J46" s="23" t="n">
        <v>5280</v>
      </c>
      <c r="K46" s="23" t="n">
        <v>4116</v>
      </c>
      <c r="L46" s="23" t="n">
        <v>7092</v>
      </c>
      <c r="M46" s="23" t="n">
        <v>8486</v>
      </c>
      <c r="N46" s="23" t="n">
        <v>8872</v>
      </c>
      <c r="O46" s="23" t="n">
        <v>6013.2</v>
      </c>
      <c r="P46" s="23" t="n">
        <v>8167.8</v>
      </c>
      <c r="Q46" s="23" t="n">
        <v>8336</v>
      </c>
      <c r="R46" s="23" t="n">
        <v>8851.73748676122</v>
      </c>
      <c r="S46" s="23" t="n">
        <v>8374.47858697918</v>
      </c>
    </row>
    <row r="47" customFormat="false" ht="15" hidden="false" customHeight="false" outlineLevel="0" collapsed="false">
      <c r="A47" s="3" t="n">
        <v>30002078</v>
      </c>
      <c r="B47" s="3" t="s">
        <v>233</v>
      </c>
      <c r="C47" s="3" t="s">
        <v>129</v>
      </c>
      <c r="D47" s="3" t="s">
        <v>187</v>
      </c>
      <c r="E47" s="3" t="s">
        <v>188</v>
      </c>
      <c r="F47" s="23" t="n">
        <v>4620</v>
      </c>
      <c r="G47" s="23" t="n">
        <v>6144</v>
      </c>
      <c r="H47" s="23" t="n">
        <v>5628</v>
      </c>
      <c r="I47" s="23" t="n">
        <v>10536</v>
      </c>
      <c r="J47" s="23" t="n">
        <v>7368</v>
      </c>
      <c r="K47" s="23" t="n">
        <v>5568</v>
      </c>
      <c r="L47" s="23" t="n">
        <v>7344</v>
      </c>
      <c r="M47" s="23" t="n">
        <v>9550</v>
      </c>
      <c r="N47" s="23" t="n">
        <v>8520</v>
      </c>
      <c r="O47" s="23" t="n">
        <v>4580.845</v>
      </c>
      <c r="P47" s="23" t="n">
        <v>6080.07667554929</v>
      </c>
      <c r="Q47" s="23" t="n">
        <v>7404.32327554929</v>
      </c>
      <c r="R47" s="23" t="n">
        <v>9632.60798618391</v>
      </c>
      <c r="S47" s="23" t="n">
        <v>6913.25760106735</v>
      </c>
    </row>
    <row r="48" customFormat="false" ht="15" hidden="false" customHeight="false" outlineLevel="0" collapsed="false">
      <c r="A48" s="3" t="n">
        <v>30001895</v>
      </c>
      <c r="B48" s="3" t="s">
        <v>234</v>
      </c>
      <c r="C48" s="3" t="s">
        <v>128</v>
      </c>
      <c r="D48" s="3" t="s">
        <v>187</v>
      </c>
      <c r="E48" s="3" t="s">
        <v>205</v>
      </c>
      <c r="F48" s="23" t="n">
        <v>7949.6</v>
      </c>
      <c r="G48" s="23" t="n">
        <v>12768</v>
      </c>
      <c r="H48" s="23" t="n">
        <v>6004</v>
      </c>
      <c r="I48" s="23" t="n">
        <v>4088.8</v>
      </c>
      <c r="J48" s="23" t="n">
        <v>3268</v>
      </c>
      <c r="K48" s="23" t="n">
        <v>5548</v>
      </c>
      <c r="L48" s="23" t="n">
        <v>4271.2</v>
      </c>
      <c r="M48" s="23" t="n">
        <v>8048</v>
      </c>
      <c r="N48" s="23" t="n">
        <v>8562.4</v>
      </c>
      <c r="O48" s="23" t="n">
        <v>5116.8</v>
      </c>
      <c r="P48" s="23" t="n">
        <v>6516.8</v>
      </c>
      <c r="Q48" s="23" t="n">
        <v>7262.4</v>
      </c>
      <c r="R48" s="23" t="n">
        <v>6779.11430806865</v>
      </c>
      <c r="S48" s="23" t="n">
        <v>6505.83011085141</v>
      </c>
    </row>
    <row r="49" customFormat="false" ht="15" hidden="false" customHeight="false" outlineLevel="0" collapsed="false">
      <c r="A49" s="3" t="n">
        <v>30002229</v>
      </c>
      <c r="B49" s="3" t="s">
        <v>235</v>
      </c>
      <c r="C49" s="3" t="s">
        <v>126</v>
      </c>
      <c r="D49" s="3" t="s">
        <v>187</v>
      </c>
      <c r="E49" s="3" t="s">
        <v>188</v>
      </c>
      <c r="F49" s="23" t="n">
        <v>3450</v>
      </c>
      <c r="G49" s="23" t="n">
        <v>0</v>
      </c>
      <c r="H49" s="23" t="n">
        <v>5175</v>
      </c>
      <c r="I49" s="23" t="n">
        <v>16790</v>
      </c>
      <c r="J49" s="23" t="n">
        <v>6900</v>
      </c>
      <c r="K49" s="23" t="n">
        <v>6900</v>
      </c>
      <c r="L49" s="23" t="n">
        <v>74.75</v>
      </c>
      <c r="M49" s="23" t="n">
        <v>2957.5</v>
      </c>
      <c r="N49" s="23" t="n">
        <v>3057.5</v>
      </c>
      <c r="O49" s="23" t="n">
        <v>4057.5</v>
      </c>
      <c r="P49" s="23" t="n">
        <v>9057.5</v>
      </c>
      <c r="Q49" s="23" t="n">
        <v>8000</v>
      </c>
      <c r="R49" s="23" t="n">
        <v>2303.83333333333</v>
      </c>
      <c r="S49" s="23" t="n">
        <v>4183.18992787643</v>
      </c>
    </row>
    <row r="50" customFormat="false" ht="15" hidden="false" customHeight="false" outlineLevel="0" collapsed="false">
      <c r="A50" s="3" t="n">
        <v>30001923</v>
      </c>
      <c r="B50" s="3" t="s">
        <v>236</v>
      </c>
      <c r="C50" s="3" t="s">
        <v>126</v>
      </c>
      <c r="D50" s="3" t="s">
        <v>187</v>
      </c>
      <c r="E50" s="3" t="s">
        <v>214</v>
      </c>
      <c r="F50" s="23" t="n">
        <v>4890</v>
      </c>
      <c r="G50" s="23" t="n">
        <v>4326</v>
      </c>
      <c r="H50" s="23" t="n">
        <v>4524</v>
      </c>
      <c r="I50" s="23" t="n">
        <v>6288</v>
      </c>
      <c r="J50" s="23" t="n">
        <v>4446</v>
      </c>
      <c r="K50" s="23" t="n">
        <v>13632</v>
      </c>
      <c r="L50" s="23" t="n">
        <v>2346</v>
      </c>
      <c r="M50" s="23" t="n">
        <v>5090</v>
      </c>
      <c r="N50" s="23" t="n">
        <v>5456</v>
      </c>
      <c r="O50" s="23" t="n">
        <v>4883.92</v>
      </c>
      <c r="P50" s="23" t="n">
        <v>6383.92</v>
      </c>
      <c r="Q50" s="23" t="n">
        <v>7282</v>
      </c>
      <c r="R50" s="23" t="n">
        <v>11846.7628849725</v>
      </c>
      <c r="S50" s="23" t="n">
        <v>5508.98313140178</v>
      </c>
    </row>
    <row r="51" customFormat="false" ht="15" hidden="false" customHeight="false" outlineLevel="0" collapsed="false">
      <c r="A51" s="3" t="n">
        <v>30000321</v>
      </c>
      <c r="B51" s="3" t="s">
        <v>237</v>
      </c>
      <c r="C51" s="3" t="s">
        <v>128</v>
      </c>
      <c r="D51" s="3" t="s">
        <v>187</v>
      </c>
      <c r="E51" s="3" t="s">
        <v>205</v>
      </c>
      <c r="F51" s="23" t="n">
        <v>9152</v>
      </c>
      <c r="G51" s="23" t="n">
        <v>6512</v>
      </c>
      <c r="H51" s="23" t="n">
        <v>3544</v>
      </c>
      <c r="I51" s="23" t="n">
        <v>6304</v>
      </c>
      <c r="J51" s="23" t="n">
        <v>5920</v>
      </c>
      <c r="K51" s="23" t="n">
        <v>5360</v>
      </c>
      <c r="L51" s="23" t="n">
        <v>2448</v>
      </c>
      <c r="M51" s="23" t="n">
        <v>8828.8</v>
      </c>
      <c r="N51" s="23" t="n">
        <v>7130</v>
      </c>
      <c r="O51" s="23" t="n">
        <v>3890.8</v>
      </c>
      <c r="P51" s="23" t="n">
        <v>4890.8</v>
      </c>
      <c r="Q51" s="23" t="n">
        <v>5430</v>
      </c>
      <c r="R51" s="23" t="n">
        <v>5266.9230550219</v>
      </c>
      <c r="S51" s="23" t="n">
        <v>4208.56797534783</v>
      </c>
    </row>
    <row r="52" customFormat="false" ht="15" hidden="false" customHeight="false" outlineLevel="0" collapsed="false">
      <c r="A52" s="3" t="n">
        <v>30001487</v>
      </c>
      <c r="B52" s="3" t="s">
        <v>238</v>
      </c>
      <c r="C52" s="3" t="s">
        <v>126</v>
      </c>
      <c r="D52" s="3" t="s">
        <v>187</v>
      </c>
      <c r="E52" s="3" t="s">
        <v>214</v>
      </c>
      <c r="F52" s="23" t="n">
        <v>4980</v>
      </c>
      <c r="G52" s="23" t="n">
        <v>5244</v>
      </c>
      <c r="H52" s="23" t="n">
        <v>6204</v>
      </c>
      <c r="I52" s="23" t="n">
        <v>5814</v>
      </c>
      <c r="J52" s="23" t="n">
        <v>2892</v>
      </c>
      <c r="K52" s="23" t="n">
        <v>11532</v>
      </c>
      <c r="L52" s="23" t="n">
        <v>2628</v>
      </c>
      <c r="M52" s="23" t="n">
        <v>4400</v>
      </c>
      <c r="N52" s="23" t="n">
        <v>4964</v>
      </c>
      <c r="O52" s="23" t="n">
        <v>4963.88</v>
      </c>
      <c r="P52" s="23" t="n">
        <v>5963.88</v>
      </c>
      <c r="Q52" s="23" t="n">
        <v>5862</v>
      </c>
      <c r="R52" s="23" t="n">
        <v>7210.013722626</v>
      </c>
      <c r="S52" s="23" t="n">
        <v>5720.16534760224</v>
      </c>
    </row>
    <row r="53" customFormat="false" ht="15" hidden="false" customHeight="false" outlineLevel="0" collapsed="false">
      <c r="A53" s="3" t="n">
        <v>30001574</v>
      </c>
      <c r="B53" s="3" t="s">
        <v>239</v>
      </c>
      <c r="C53" s="3" t="s">
        <v>129</v>
      </c>
      <c r="D53" s="3" t="s">
        <v>187</v>
      </c>
      <c r="E53" s="3" t="s">
        <v>214</v>
      </c>
      <c r="F53" s="23" t="n">
        <v>2832</v>
      </c>
      <c r="G53" s="23" t="n">
        <v>4680</v>
      </c>
      <c r="H53" s="23" t="n">
        <v>4176</v>
      </c>
      <c r="I53" s="23" t="n">
        <v>7764</v>
      </c>
      <c r="J53" s="23" t="n">
        <v>6144</v>
      </c>
      <c r="K53" s="23" t="n">
        <v>6708</v>
      </c>
      <c r="L53" s="23" t="n">
        <v>4224</v>
      </c>
      <c r="M53" s="23" t="n">
        <v>8288</v>
      </c>
      <c r="N53" s="23" t="n">
        <v>5688</v>
      </c>
      <c r="O53" s="23" t="n">
        <v>4576</v>
      </c>
      <c r="P53" s="23" t="n">
        <v>7676</v>
      </c>
      <c r="Q53" s="23" t="n">
        <v>6488</v>
      </c>
      <c r="R53" s="23" t="n">
        <v>6503.00693872729</v>
      </c>
      <c r="S53" s="23" t="n">
        <v>6540.28620174173</v>
      </c>
    </row>
    <row r="54" customFormat="false" ht="15" hidden="false" customHeight="false" outlineLevel="0" collapsed="false">
      <c r="A54" s="3" t="n">
        <v>30002077</v>
      </c>
      <c r="B54" s="3" t="s">
        <v>240</v>
      </c>
      <c r="C54" s="3" t="s">
        <v>129</v>
      </c>
      <c r="D54" s="3" t="s">
        <v>187</v>
      </c>
      <c r="E54" s="3" t="s">
        <v>188</v>
      </c>
      <c r="F54" s="23" t="n">
        <v>2688</v>
      </c>
      <c r="G54" s="23" t="n">
        <v>9672</v>
      </c>
      <c r="H54" s="23" t="n">
        <v>8520</v>
      </c>
      <c r="I54" s="23" t="n">
        <v>6600</v>
      </c>
      <c r="J54" s="23" t="n">
        <v>2016</v>
      </c>
      <c r="K54" s="23" t="n">
        <v>2808</v>
      </c>
      <c r="L54" s="23" t="n">
        <v>2328</v>
      </c>
      <c r="M54" s="23" t="n">
        <v>4150</v>
      </c>
      <c r="N54" s="23" t="n">
        <v>4050</v>
      </c>
      <c r="O54" s="23" t="n">
        <v>1803.07133642411</v>
      </c>
      <c r="P54" s="23" t="n">
        <v>2326.09613642411</v>
      </c>
      <c r="Q54" s="23" t="n">
        <v>4686.72133642411</v>
      </c>
      <c r="R54" s="23" t="n">
        <v>3837.00075845419</v>
      </c>
      <c r="S54" s="23" t="n">
        <v>2416.34624289224</v>
      </c>
    </row>
    <row r="55" customFormat="false" ht="15" hidden="false" customHeight="false" outlineLevel="0" collapsed="false">
      <c r="A55" s="3" t="n">
        <v>30000328</v>
      </c>
      <c r="B55" s="3" t="s">
        <v>241</v>
      </c>
      <c r="C55" s="3" t="s">
        <v>129</v>
      </c>
      <c r="D55" s="3" t="s">
        <v>187</v>
      </c>
      <c r="E55" s="3" t="s">
        <v>205</v>
      </c>
      <c r="F55" s="23" t="n">
        <v>3720</v>
      </c>
      <c r="G55" s="23" t="n">
        <v>6240</v>
      </c>
      <c r="H55" s="23" t="n">
        <v>4752</v>
      </c>
      <c r="I55" s="23" t="n">
        <v>5220</v>
      </c>
      <c r="J55" s="23" t="n">
        <v>4908</v>
      </c>
      <c r="K55" s="23" t="n">
        <v>6960</v>
      </c>
      <c r="L55" s="23" t="n">
        <v>4320</v>
      </c>
      <c r="M55" s="23" t="n">
        <v>7495.01095724344</v>
      </c>
      <c r="N55" s="23" t="n">
        <v>6250</v>
      </c>
      <c r="O55" s="23" t="n">
        <v>3994.63</v>
      </c>
      <c r="P55" s="23" t="n">
        <v>7661.705</v>
      </c>
      <c r="Q55" s="23" t="n">
        <v>7099.27</v>
      </c>
      <c r="R55" s="23" t="n">
        <v>7469.76614333178</v>
      </c>
      <c r="S55" s="23" t="n">
        <v>6701.91656998054</v>
      </c>
    </row>
    <row r="56" customFormat="false" ht="15" hidden="false" customHeight="false" outlineLevel="0" collapsed="false">
      <c r="A56" s="3" t="n">
        <v>30002272</v>
      </c>
      <c r="B56" s="3" t="s">
        <v>242</v>
      </c>
      <c r="C56" s="3" t="s">
        <v>129</v>
      </c>
      <c r="D56" s="3" t="s">
        <v>187</v>
      </c>
      <c r="E56" s="3" t="s">
        <v>209</v>
      </c>
      <c r="F56" s="23" t="n">
        <v>2958</v>
      </c>
      <c r="G56" s="23" t="n">
        <v>4824</v>
      </c>
      <c r="H56" s="23" t="n">
        <v>3330</v>
      </c>
      <c r="I56" s="23" t="n">
        <v>3504</v>
      </c>
      <c r="J56" s="23" t="n">
        <v>6978</v>
      </c>
      <c r="K56" s="23" t="n">
        <v>9252</v>
      </c>
      <c r="L56" s="23" t="n">
        <v>5844</v>
      </c>
      <c r="M56" s="23" t="n">
        <v>4600</v>
      </c>
      <c r="N56" s="23" t="n">
        <v>3310</v>
      </c>
      <c r="O56" s="23" t="n">
        <v>2492</v>
      </c>
      <c r="P56" s="23" t="n">
        <v>5292</v>
      </c>
      <c r="Q56" s="23" t="n">
        <v>5819.6</v>
      </c>
      <c r="R56" s="23" t="n">
        <v>6373.61097191976</v>
      </c>
      <c r="S56" s="23" t="n">
        <v>8607.62292091779</v>
      </c>
    </row>
    <row r="57" customFormat="false" ht="15" hidden="false" customHeight="false" outlineLevel="0" collapsed="false">
      <c r="A57" s="3" t="n">
        <v>30001882</v>
      </c>
      <c r="B57" s="3" t="s">
        <v>243</v>
      </c>
      <c r="C57" s="3" t="s">
        <v>124</v>
      </c>
      <c r="D57" s="3" t="s">
        <v>187</v>
      </c>
      <c r="E57" s="3" t="s">
        <v>188</v>
      </c>
      <c r="F57" s="23" t="n">
        <v>6192</v>
      </c>
      <c r="G57" s="23" t="n">
        <v>4104</v>
      </c>
      <c r="H57" s="23" t="n">
        <v>3894</v>
      </c>
      <c r="I57" s="23" t="n">
        <v>5634</v>
      </c>
      <c r="J57" s="23" t="n">
        <v>6048</v>
      </c>
      <c r="K57" s="23" t="n">
        <v>3684</v>
      </c>
      <c r="L57" s="23" t="n">
        <v>5130</v>
      </c>
      <c r="M57" s="23" t="n">
        <v>6370</v>
      </c>
      <c r="N57" s="23" t="n">
        <v>5870</v>
      </c>
      <c r="O57" s="23" t="n">
        <v>2600.68</v>
      </c>
      <c r="P57" s="23" t="n">
        <v>6322.64</v>
      </c>
      <c r="Q57" s="23" t="n">
        <v>5258</v>
      </c>
      <c r="R57" s="23" t="n">
        <v>5186.98135031467</v>
      </c>
      <c r="S57" s="23" t="n">
        <v>5074.58720629894</v>
      </c>
    </row>
    <row r="58" customFormat="false" ht="15" hidden="false" customHeight="false" outlineLevel="0" collapsed="false">
      <c r="A58" s="3" t="n">
        <v>30000354</v>
      </c>
      <c r="B58" s="3" t="s">
        <v>244</v>
      </c>
      <c r="C58" s="3" t="s">
        <v>129</v>
      </c>
      <c r="D58" s="3" t="s">
        <v>187</v>
      </c>
      <c r="E58" s="3" t="s">
        <v>205</v>
      </c>
      <c r="F58" s="23" t="n">
        <v>2664</v>
      </c>
      <c r="G58" s="23" t="n">
        <v>5706</v>
      </c>
      <c r="H58" s="23" t="n">
        <v>4362</v>
      </c>
      <c r="I58" s="23" t="n">
        <v>7062</v>
      </c>
      <c r="J58" s="23" t="n">
        <v>3828</v>
      </c>
      <c r="K58" s="23" t="n">
        <v>5670</v>
      </c>
      <c r="L58" s="23" t="n">
        <v>2376</v>
      </c>
      <c r="M58" s="23" t="n">
        <v>4220</v>
      </c>
      <c r="N58" s="23" t="n">
        <v>4686</v>
      </c>
      <c r="O58" s="23" t="n">
        <v>4190.7</v>
      </c>
      <c r="P58" s="23" t="n">
        <v>7671.5146</v>
      </c>
      <c r="Q58" s="23" t="n">
        <v>6279.5146</v>
      </c>
      <c r="R58" s="23" t="n">
        <v>4699.61066889681</v>
      </c>
      <c r="S58" s="23" t="n">
        <v>4663.15667769439</v>
      </c>
    </row>
    <row r="59" customFormat="false" ht="15" hidden="false" customHeight="false" outlineLevel="0" collapsed="false">
      <c r="A59" s="3" t="n">
        <v>30000360</v>
      </c>
      <c r="B59" s="3" t="s">
        <v>245</v>
      </c>
      <c r="C59" s="3" t="s">
        <v>129</v>
      </c>
      <c r="D59" s="3" t="s">
        <v>187</v>
      </c>
      <c r="E59" s="3" t="s">
        <v>188</v>
      </c>
      <c r="F59" s="23" t="n">
        <v>4092</v>
      </c>
      <c r="G59" s="23" t="n">
        <v>5052</v>
      </c>
      <c r="H59" s="23" t="n">
        <v>1212</v>
      </c>
      <c r="I59" s="23" t="n">
        <v>9996</v>
      </c>
      <c r="J59" s="23" t="n">
        <v>2460</v>
      </c>
      <c r="K59" s="23" t="n">
        <v>5136</v>
      </c>
      <c r="L59" s="23" t="n">
        <v>1908</v>
      </c>
      <c r="M59" s="23" t="n">
        <v>4316</v>
      </c>
      <c r="N59" s="23" t="n">
        <v>4216</v>
      </c>
      <c r="O59" s="23" t="n">
        <v>3707.12</v>
      </c>
      <c r="P59" s="23" t="n">
        <v>4725.1816</v>
      </c>
      <c r="Q59" s="23" t="n">
        <v>5150.6</v>
      </c>
      <c r="R59" s="23" t="n">
        <v>4188.39146925322</v>
      </c>
      <c r="S59" s="23" t="n">
        <v>3770.51991485712</v>
      </c>
    </row>
    <row r="60" customFormat="false" ht="15" hidden="false" customHeight="false" outlineLevel="0" collapsed="false">
      <c r="A60" s="3" t="n">
        <v>30001405</v>
      </c>
      <c r="B60" s="3" t="s">
        <v>246</v>
      </c>
      <c r="C60" s="3" t="s">
        <v>129</v>
      </c>
      <c r="D60" s="3" t="s">
        <v>187</v>
      </c>
      <c r="E60" s="3" t="s">
        <v>205</v>
      </c>
      <c r="F60" s="23" t="n">
        <v>3780</v>
      </c>
      <c r="G60" s="23" t="n">
        <v>6052.5</v>
      </c>
      <c r="H60" s="23" t="n">
        <v>4297.5</v>
      </c>
      <c r="I60" s="23" t="n">
        <v>4104</v>
      </c>
      <c r="J60" s="23" t="n">
        <v>4603.5</v>
      </c>
      <c r="K60" s="23" t="n">
        <v>4851</v>
      </c>
      <c r="L60" s="23" t="n">
        <v>1638</v>
      </c>
      <c r="M60" s="23" t="n">
        <v>4790</v>
      </c>
      <c r="N60" s="23" t="n">
        <v>4290</v>
      </c>
      <c r="O60" s="23" t="n">
        <v>3313.44</v>
      </c>
      <c r="P60" s="23" t="n">
        <v>4282.62125</v>
      </c>
      <c r="Q60" s="23" t="n">
        <v>3584.15</v>
      </c>
      <c r="R60" s="23" t="n">
        <v>3619.37869768929</v>
      </c>
      <c r="S60" s="23" t="n">
        <v>3371.30723532994</v>
      </c>
    </row>
    <row r="61" customFormat="false" ht="15" hidden="false" customHeight="false" outlineLevel="0" collapsed="false">
      <c r="A61" s="3" t="n">
        <v>30001980</v>
      </c>
      <c r="B61" s="3" t="s">
        <v>247</v>
      </c>
      <c r="C61" s="3" t="s">
        <v>129</v>
      </c>
      <c r="D61" s="3" t="s">
        <v>187</v>
      </c>
      <c r="E61" s="3" t="s">
        <v>188</v>
      </c>
      <c r="F61" s="23" t="n">
        <v>5620.5</v>
      </c>
      <c r="G61" s="23" t="n">
        <v>3213</v>
      </c>
      <c r="H61" s="23" t="n">
        <v>4077</v>
      </c>
      <c r="I61" s="23" t="n">
        <v>5782.5</v>
      </c>
      <c r="J61" s="23" t="n">
        <v>4077</v>
      </c>
      <c r="K61" s="23" t="n">
        <v>4590</v>
      </c>
      <c r="L61" s="23" t="n">
        <v>2614.5</v>
      </c>
      <c r="M61" s="23" t="n">
        <v>4313</v>
      </c>
      <c r="N61" s="23" t="n">
        <v>4763</v>
      </c>
      <c r="O61" s="23" t="n">
        <v>3854</v>
      </c>
      <c r="P61" s="23" t="n">
        <v>4785.5</v>
      </c>
      <c r="Q61" s="23" t="n">
        <v>4985.5</v>
      </c>
      <c r="R61" s="23" t="n">
        <v>4929.1580623556</v>
      </c>
      <c r="S61" s="23" t="n">
        <v>4157.09834376762</v>
      </c>
    </row>
    <row r="62" customFormat="false" ht="15" hidden="false" customHeight="false" outlineLevel="0" collapsed="false">
      <c r="A62" s="3" t="n">
        <v>30000478</v>
      </c>
      <c r="B62" s="3" t="s">
        <v>248</v>
      </c>
      <c r="C62" s="3" t="s">
        <v>129</v>
      </c>
      <c r="D62" s="3" t="s">
        <v>187</v>
      </c>
      <c r="E62" s="3" t="s">
        <v>205</v>
      </c>
      <c r="F62" s="23" t="n">
        <v>3336</v>
      </c>
      <c r="G62" s="23" t="n">
        <v>5688</v>
      </c>
      <c r="H62" s="23" t="n">
        <v>4116</v>
      </c>
      <c r="I62" s="23" t="n">
        <v>3732</v>
      </c>
      <c r="J62" s="23" t="n">
        <v>3516</v>
      </c>
      <c r="K62" s="23" t="n">
        <v>6216</v>
      </c>
      <c r="L62" s="23" t="n">
        <v>1692</v>
      </c>
      <c r="M62" s="23" t="n">
        <v>5144</v>
      </c>
      <c r="N62" s="23" t="n">
        <v>5084</v>
      </c>
      <c r="O62" s="23" t="n">
        <v>3692.42</v>
      </c>
      <c r="P62" s="23" t="n">
        <v>4330.82</v>
      </c>
      <c r="Q62" s="23" t="n">
        <v>5079.62</v>
      </c>
      <c r="R62" s="23" t="n">
        <v>4550.18221698551</v>
      </c>
      <c r="S62" s="23" t="n">
        <v>4021.22614561375</v>
      </c>
    </row>
    <row r="63" customFormat="false" ht="15" hidden="false" customHeight="false" outlineLevel="0" collapsed="false">
      <c r="A63" s="3" t="n">
        <v>30000351</v>
      </c>
      <c r="B63" s="3" t="s">
        <v>249</v>
      </c>
      <c r="C63" s="3" t="s">
        <v>129</v>
      </c>
      <c r="D63" s="3" t="s">
        <v>187</v>
      </c>
      <c r="E63" s="3" t="s">
        <v>188</v>
      </c>
      <c r="F63" s="23" t="n">
        <v>4236</v>
      </c>
      <c r="G63" s="23" t="n">
        <v>4524</v>
      </c>
      <c r="H63" s="23" t="n">
        <v>3672</v>
      </c>
      <c r="I63" s="23" t="n">
        <v>4824</v>
      </c>
      <c r="J63" s="23" t="n">
        <v>3558</v>
      </c>
      <c r="K63" s="23" t="n">
        <v>5730</v>
      </c>
      <c r="L63" s="23" t="n">
        <v>2034</v>
      </c>
      <c r="M63" s="23" t="n">
        <v>5325.37585905639</v>
      </c>
      <c r="N63" s="23" t="n">
        <v>4288</v>
      </c>
      <c r="O63" s="23" t="n">
        <v>3632.395</v>
      </c>
      <c r="P63" s="23" t="n">
        <v>4149.5</v>
      </c>
      <c r="Q63" s="23" t="n">
        <v>4131.21</v>
      </c>
      <c r="R63" s="23" t="n">
        <v>4058.07728931195</v>
      </c>
      <c r="S63" s="23" t="n">
        <v>2950.15990393332</v>
      </c>
    </row>
    <row r="64" customFormat="false" ht="15" hidden="false" customHeight="false" outlineLevel="0" collapsed="false">
      <c r="A64" s="3" t="n">
        <v>30000245</v>
      </c>
      <c r="B64" s="3" t="s">
        <v>250</v>
      </c>
      <c r="C64" s="3" t="s">
        <v>126</v>
      </c>
      <c r="D64" s="3" t="s">
        <v>187</v>
      </c>
      <c r="E64" s="3" t="s">
        <v>205</v>
      </c>
      <c r="F64" s="23" t="n">
        <v>7464</v>
      </c>
      <c r="G64" s="23" t="n">
        <v>5508</v>
      </c>
      <c r="H64" s="23" t="n">
        <v>2748</v>
      </c>
      <c r="I64" s="23" t="n">
        <v>3444</v>
      </c>
      <c r="J64" s="23" t="n">
        <v>2196</v>
      </c>
      <c r="K64" s="23" t="n">
        <v>4020</v>
      </c>
      <c r="L64" s="23" t="n">
        <v>1464</v>
      </c>
      <c r="M64" s="23" t="n">
        <v>2847.91072027233</v>
      </c>
      <c r="N64" s="23" t="n">
        <v>3636</v>
      </c>
      <c r="O64" s="23" t="n">
        <v>3209.4</v>
      </c>
      <c r="P64" s="23" t="n">
        <v>3628.4</v>
      </c>
      <c r="Q64" s="23" t="n">
        <v>3459.5</v>
      </c>
      <c r="R64" s="23" t="n">
        <v>3310.8168099596</v>
      </c>
      <c r="S64" s="23" t="n">
        <v>3044.62146658087</v>
      </c>
    </row>
    <row r="65" customFormat="false" ht="15" hidden="false" customHeight="false" outlineLevel="0" collapsed="false">
      <c r="A65" s="3" t="n">
        <v>30002359</v>
      </c>
      <c r="B65" s="3" t="s">
        <v>251</v>
      </c>
      <c r="C65" s="3" t="s">
        <v>129</v>
      </c>
      <c r="D65" s="3" t="s">
        <v>187</v>
      </c>
      <c r="E65" s="3" t="s">
        <v>205</v>
      </c>
      <c r="F65" s="23" t="n">
        <v>3678</v>
      </c>
      <c r="G65" s="23" t="n">
        <v>4446</v>
      </c>
      <c r="H65" s="23" t="n">
        <v>2952</v>
      </c>
      <c r="I65" s="23" t="n">
        <v>2352</v>
      </c>
      <c r="J65" s="23" t="n">
        <v>5490</v>
      </c>
      <c r="K65" s="23" t="n">
        <v>5598</v>
      </c>
      <c r="L65" s="23" t="n">
        <v>2952</v>
      </c>
      <c r="M65" s="23" t="n">
        <v>3122</v>
      </c>
      <c r="N65" s="23" t="n">
        <v>2650</v>
      </c>
      <c r="O65" s="23" t="n">
        <v>2352.045</v>
      </c>
      <c r="P65" s="23" t="n">
        <v>3377.295</v>
      </c>
      <c r="Q65" s="23" t="n">
        <v>4079.045</v>
      </c>
      <c r="R65" s="23" t="n">
        <v>2817.74561362824</v>
      </c>
      <c r="S65" s="23" t="n">
        <v>3776.44771326728</v>
      </c>
    </row>
    <row r="66" customFormat="false" ht="15" hidden="false" customHeight="false" outlineLevel="0" collapsed="false">
      <c r="A66" s="3" t="n">
        <v>30000006</v>
      </c>
      <c r="B66" s="3" t="s">
        <v>252</v>
      </c>
      <c r="C66" s="3" t="s">
        <v>129</v>
      </c>
      <c r="D66" s="3" t="s">
        <v>187</v>
      </c>
      <c r="E66" s="3" t="s">
        <v>205</v>
      </c>
      <c r="F66" s="23" t="n">
        <v>5196</v>
      </c>
      <c r="G66" s="23" t="n">
        <v>3996</v>
      </c>
      <c r="H66" s="23" t="n">
        <v>4908</v>
      </c>
      <c r="I66" s="23" t="n">
        <v>4560</v>
      </c>
      <c r="J66" s="23" t="n">
        <v>3948</v>
      </c>
      <c r="K66" s="23" t="n">
        <v>1680</v>
      </c>
      <c r="L66" s="23" t="n">
        <v>2508</v>
      </c>
      <c r="M66" s="23" t="n">
        <v>3016</v>
      </c>
      <c r="N66" s="23" t="n">
        <v>2860</v>
      </c>
      <c r="O66" s="23" t="n">
        <v>1770.8</v>
      </c>
      <c r="P66" s="23" t="n">
        <v>2487.17457627119</v>
      </c>
      <c r="Q66" s="23" t="n">
        <v>2868.97457627119</v>
      </c>
      <c r="R66" s="23" t="n">
        <v>2932.62378927724</v>
      </c>
      <c r="S66" s="23" t="n">
        <v>1839.94267121932</v>
      </c>
    </row>
    <row r="67" customFormat="false" ht="15" hidden="false" customHeight="false" outlineLevel="0" collapsed="false">
      <c r="A67" s="3" t="n">
        <v>30000244</v>
      </c>
      <c r="B67" s="3" t="s">
        <v>253</v>
      </c>
      <c r="C67" s="3" t="s">
        <v>126</v>
      </c>
      <c r="D67" s="3" t="s">
        <v>187</v>
      </c>
      <c r="E67" s="3" t="s">
        <v>205</v>
      </c>
      <c r="F67" s="23" t="n">
        <v>4044</v>
      </c>
      <c r="G67" s="23" t="n">
        <v>4824</v>
      </c>
      <c r="H67" s="23" t="n">
        <v>2688</v>
      </c>
      <c r="I67" s="23" t="n">
        <v>4656</v>
      </c>
      <c r="J67" s="23" t="n">
        <v>3168</v>
      </c>
      <c r="K67" s="23" t="n">
        <v>4872</v>
      </c>
      <c r="L67" s="23" t="n">
        <v>1812</v>
      </c>
      <c r="M67" s="23" t="n">
        <v>4530.23405627047</v>
      </c>
      <c r="N67" s="23" t="n">
        <v>4528</v>
      </c>
      <c r="O67" s="23" t="n">
        <v>5397</v>
      </c>
      <c r="P67" s="23" t="n">
        <v>6050.6</v>
      </c>
      <c r="Q67" s="23" t="n">
        <v>6176.4</v>
      </c>
      <c r="R67" s="23" t="n">
        <v>5644.93887140984</v>
      </c>
      <c r="S67" s="23" t="n">
        <v>5307.68578969317</v>
      </c>
    </row>
    <row r="68" customFormat="false" ht="15" hidden="false" customHeight="false" outlineLevel="0" collapsed="false">
      <c r="A68" s="3" t="n">
        <v>30001376</v>
      </c>
      <c r="B68" s="3" t="s">
        <v>254</v>
      </c>
      <c r="C68" s="3" t="s">
        <v>129</v>
      </c>
      <c r="D68" s="3" t="s">
        <v>187</v>
      </c>
      <c r="E68" s="3" t="s">
        <v>188</v>
      </c>
      <c r="F68" s="23" t="n">
        <v>3897</v>
      </c>
      <c r="G68" s="23" t="n">
        <v>3622.5</v>
      </c>
      <c r="H68" s="23" t="n">
        <v>4054.5</v>
      </c>
      <c r="I68" s="23" t="n">
        <v>3924</v>
      </c>
      <c r="J68" s="23" t="n">
        <v>4239</v>
      </c>
      <c r="K68" s="23" t="n">
        <v>4513.5</v>
      </c>
      <c r="L68" s="23" t="n">
        <v>2272.5</v>
      </c>
      <c r="M68" s="23" t="n">
        <v>4044</v>
      </c>
      <c r="N68" s="23" t="n">
        <v>3800</v>
      </c>
      <c r="O68" s="23" t="n">
        <v>3040</v>
      </c>
      <c r="P68" s="23" t="n">
        <v>3590</v>
      </c>
      <c r="Q68" s="23" t="n">
        <v>5856</v>
      </c>
      <c r="R68" s="23" t="n">
        <v>4543.61834921206</v>
      </c>
      <c r="S68" s="23" t="n">
        <v>4363.57237702994</v>
      </c>
    </row>
    <row r="69" customFormat="false" ht="15" hidden="false" customHeight="false" outlineLevel="0" collapsed="false">
      <c r="A69" s="3" t="n">
        <v>30002228</v>
      </c>
      <c r="B69" s="3" t="s">
        <v>255</v>
      </c>
      <c r="C69" s="3" t="s">
        <v>126</v>
      </c>
      <c r="D69" s="3" t="s">
        <v>187</v>
      </c>
      <c r="E69" s="3" t="s">
        <v>188</v>
      </c>
      <c r="F69" s="23" t="n">
        <v>3450</v>
      </c>
      <c r="G69" s="23" t="n">
        <v>0</v>
      </c>
      <c r="H69" s="23" t="n">
        <v>2875</v>
      </c>
      <c r="I69" s="23" t="n">
        <v>6900</v>
      </c>
      <c r="J69" s="23" t="n">
        <v>5175</v>
      </c>
      <c r="K69" s="23" t="n">
        <v>5175</v>
      </c>
      <c r="L69" s="23" t="n">
        <v>649.75</v>
      </c>
      <c r="M69" s="23" t="n">
        <v>2574.75</v>
      </c>
      <c r="N69" s="23" t="n">
        <v>3074.75</v>
      </c>
      <c r="O69" s="23" t="n">
        <v>3074.75</v>
      </c>
      <c r="P69" s="23" t="n">
        <v>5074.75</v>
      </c>
      <c r="Q69" s="23" t="n">
        <v>3000</v>
      </c>
      <c r="R69" s="23" t="n">
        <v>2003.11458333333</v>
      </c>
      <c r="S69" s="23" t="n">
        <v>3453.27794561951</v>
      </c>
    </row>
    <row r="70" customFormat="false" ht="15" hidden="false" customHeight="false" outlineLevel="0" collapsed="false">
      <c r="A70" s="3" t="n">
        <v>30000307</v>
      </c>
      <c r="B70" s="3" t="s">
        <v>256</v>
      </c>
      <c r="C70" s="3" t="s">
        <v>129</v>
      </c>
      <c r="D70" s="3" t="s">
        <v>187</v>
      </c>
      <c r="E70" s="3" t="s">
        <v>188</v>
      </c>
      <c r="F70" s="23" t="n">
        <v>3288</v>
      </c>
      <c r="G70" s="23" t="n">
        <v>4728</v>
      </c>
      <c r="H70" s="23" t="n">
        <v>4020</v>
      </c>
      <c r="I70" s="23" t="n">
        <v>3144</v>
      </c>
      <c r="J70" s="23" t="n">
        <v>3558</v>
      </c>
      <c r="K70" s="23" t="n">
        <v>3504</v>
      </c>
      <c r="L70" s="23" t="n">
        <v>1764</v>
      </c>
      <c r="M70" s="23" t="n">
        <v>4322.05886949727</v>
      </c>
      <c r="N70" s="23" t="n">
        <v>5206</v>
      </c>
      <c r="O70" s="23" t="n">
        <v>2940.407</v>
      </c>
      <c r="P70" s="23" t="n">
        <v>4638.5804</v>
      </c>
      <c r="Q70" s="23" t="n">
        <v>3999</v>
      </c>
      <c r="R70" s="23" t="n">
        <v>5307.73972727261</v>
      </c>
      <c r="S70" s="23" t="n">
        <v>4927.92879980387</v>
      </c>
    </row>
    <row r="71" customFormat="false" ht="15" hidden="false" customHeight="false" outlineLevel="0" collapsed="false">
      <c r="A71" s="3" t="n">
        <v>30000246</v>
      </c>
      <c r="B71" s="3" t="s">
        <v>257</v>
      </c>
      <c r="C71" s="3" t="s">
        <v>126</v>
      </c>
      <c r="D71" s="3" t="s">
        <v>187</v>
      </c>
      <c r="E71" s="3" t="s">
        <v>205</v>
      </c>
      <c r="F71" s="23" t="n">
        <v>4248</v>
      </c>
      <c r="G71" s="23" t="n">
        <v>4788</v>
      </c>
      <c r="H71" s="23" t="n">
        <v>2520</v>
      </c>
      <c r="I71" s="23" t="n">
        <v>3660</v>
      </c>
      <c r="J71" s="23" t="n">
        <v>2688</v>
      </c>
      <c r="K71" s="23" t="n">
        <v>3636</v>
      </c>
      <c r="L71" s="23" t="n">
        <v>1536</v>
      </c>
      <c r="M71" s="23" t="n">
        <v>3560.96727501354</v>
      </c>
      <c r="N71" s="23" t="n">
        <v>3795.7416</v>
      </c>
      <c r="O71" s="23" t="n">
        <v>3782.7416</v>
      </c>
      <c r="P71" s="23" t="n">
        <v>4268.5416</v>
      </c>
      <c r="Q71" s="23" t="n">
        <v>4253.4416</v>
      </c>
      <c r="R71" s="23" t="n">
        <v>4154.66676039496</v>
      </c>
      <c r="S71" s="23" t="n">
        <v>3286.57911666667</v>
      </c>
    </row>
    <row r="72" customFormat="false" ht="15" hidden="false" customHeight="false" outlineLevel="0" collapsed="false">
      <c r="A72" s="3" t="n">
        <v>30000543</v>
      </c>
      <c r="B72" s="3" t="s">
        <v>258</v>
      </c>
      <c r="C72" s="3" t="s">
        <v>129</v>
      </c>
      <c r="D72" s="3" t="s">
        <v>187</v>
      </c>
      <c r="E72" s="3" t="s">
        <v>205</v>
      </c>
      <c r="F72" s="23" t="n">
        <v>4710</v>
      </c>
      <c r="G72" s="23" t="n">
        <v>3888</v>
      </c>
      <c r="H72" s="23" t="n">
        <v>1986</v>
      </c>
      <c r="I72" s="23" t="n">
        <v>3636</v>
      </c>
      <c r="J72" s="23" t="n">
        <v>1770</v>
      </c>
      <c r="K72" s="23" t="n">
        <v>4470</v>
      </c>
      <c r="L72" s="23" t="n">
        <v>894</v>
      </c>
      <c r="M72" s="23" t="n">
        <v>4130</v>
      </c>
      <c r="N72" s="23" t="n">
        <v>3668</v>
      </c>
      <c r="O72" s="23" t="n">
        <v>1474.35</v>
      </c>
      <c r="P72" s="23" t="n">
        <v>5767.91</v>
      </c>
      <c r="Q72" s="23" t="n">
        <v>6270.7</v>
      </c>
      <c r="R72" s="23" t="n">
        <v>4456.56093158981</v>
      </c>
      <c r="S72" s="23" t="n">
        <v>3664.96924291675</v>
      </c>
    </row>
    <row r="73" customFormat="false" ht="15" hidden="false" customHeight="false" outlineLevel="0" collapsed="false">
      <c r="A73" s="3" t="n">
        <v>30000327</v>
      </c>
      <c r="B73" s="3" t="s">
        <v>259</v>
      </c>
      <c r="C73" s="3" t="s">
        <v>129</v>
      </c>
      <c r="D73" s="3" t="s">
        <v>187</v>
      </c>
      <c r="E73" s="3" t="s">
        <v>205</v>
      </c>
      <c r="F73" s="23" t="n">
        <v>852</v>
      </c>
      <c r="G73" s="23" t="n">
        <v>5160</v>
      </c>
      <c r="H73" s="23" t="n">
        <v>6792</v>
      </c>
      <c r="I73" s="23" t="n">
        <v>5436</v>
      </c>
      <c r="J73" s="23" t="n">
        <v>840</v>
      </c>
      <c r="K73" s="23" t="n">
        <v>1212</v>
      </c>
      <c r="L73" s="23" t="n">
        <v>720</v>
      </c>
      <c r="M73" s="23" t="n">
        <v>4119.01431435632</v>
      </c>
      <c r="N73" s="23" t="n">
        <v>3100</v>
      </c>
      <c r="O73" s="23" t="n">
        <v>1428.56</v>
      </c>
      <c r="P73" s="23" t="n">
        <v>2801.79</v>
      </c>
      <c r="Q73" s="23" t="n">
        <v>3304.15</v>
      </c>
      <c r="R73" s="23" t="n">
        <v>2079.91687320258</v>
      </c>
      <c r="S73" s="23" t="n">
        <v>1814.78596333686</v>
      </c>
    </row>
    <row r="74" customFormat="false" ht="15" hidden="false" customHeight="false" outlineLevel="0" collapsed="false">
      <c r="A74" s="3" t="n">
        <v>30002180</v>
      </c>
      <c r="B74" s="3" t="s">
        <v>260</v>
      </c>
      <c r="C74" s="3" t="s">
        <v>129</v>
      </c>
      <c r="D74" s="3" t="s">
        <v>187</v>
      </c>
      <c r="E74" s="3" t="s">
        <v>214</v>
      </c>
      <c r="F74" s="23" t="n">
        <v>4924.8</v>
      </c>
      <c r="G74" s="23" t="n">
        <v>5067.3</v>
      </c>
      <c r="H74" s="23" t="n">
        <v>1362.3</v>
      </c>
      <c r="I74" s="23" t="n">
        <v>2456.7</v>
      </c>
      <c r="J74" s="23" t="n">
        <v>3499.8</v>
      </c>
      <c r="K74" s="23" t="n">
        <v>2838.6</v>
      </c>
      <c r="L74" s="23" t="n">
        <v>2257.2</v>
      </c>
      <c r="M74" s="23" t="n">
        <v>4519.2</v>
      </c>
      <c r="N74" s="23" t="n">
        <v>3803.9</v>
      </c>
      <c r="O74" s="23" t="n">
        <v>3020.78711</v>
      </c>
      <c r="P74" s="23" t="n">
        <v>4363.78711</v>
      </c>
      <c r="Q74" s="23" t="n">
        <v>4748.11072056239</v>
      </c>
      <c r="R74" s="23" t="n">
        <v>4644.80111844691</v>
      </c>
      <c r="S74" s="23" t="n">
        <v>4649.28141714401</v>
      </c>
    </row>
    <row r="75" customFormat="false" ht="15" hidden="false" customHeight="false" outlineLevel="0" collapsed="false">
      <c r="A75" s="3" t="n">
        <v>30002098</v>
      </c>
      <c r="B75" s="3" t="s">
        <v>261</v>
      </c>
      <c r="C75" s="3" t="s">
        <v>130</v>
      </c>
      <c r="D75" s="3" t="s">
        <v>187</v>
      </c>
      <c r="E75" s="3" t="s">
        <v>214</v>
      </c>
      <c r="F75" s="23" t="n">
        <v>5832</v>
      </c>
      <c r="G75" s="23" t="n">
        <v>3699</v>
      </c>
      <c r="H75" s="23" t="n">
        <v>1962</v>
      </c>
      <c r="I75" s="23" t="n">
        <v>2367</v>
      </c>
      <c r="J75" s="23" t="n">
        <v>3861</v>
      </c>
      <c r="K75" s="23" t="n">
        <v>2412</v>
      </c>
      <c r="L75" s="23" t="n">
        <v>2358</v>
      </c>
      <c r="M75" s="23" t="n">
        <v>4696</v>
      </c>
      <c r="N75" s="23" t="n">
        <v>4596</v>
      </c>
      <c r="O75" s="23" t="n">
        <v>2400</v>
      </c>
      <c r="P75" s="23" t="n">
        <v>3850</v>
      </c>
      <c r="Q75" s="23" t="n">
        <v>4600</v>
      </c>
      <c r="R75" s="23" t="n">
        <v>4753.69159071127</v>
      </c>
      <c r="S75" s="23" t="n">
        <v>3180.38723117795</v>
      </c>
    </row>
    <row r="76" customFormat="false" ht="15" hidden="false" customHeight="false" outlineLevel="0" collapsed="false">
      <c r="A76" s="3" t="n">
        <v>30002125</v>
      </c>
      <c r="B76" s="3" t="s">
        <v>262</v>
      </c>
      <c r="C76" s="3" t="s">
        <v>128</v>
      </c>
      <c r="D76" s="3" t="s">
        <v>187</v>
      </c>
      <c r="E76" s="3" t="s">
        <v>188</v>
      </c>
      <c r="F76" s="23" t="n">
        <v>7721.6</v>
      </c>
      <c r="G76" s="23" t="n">
        <v>3876</v>
      </c>
      <c r="H76" s="23" t="n">
        <v>1580.8</v>
      </c>
      <c r="I76" s="23" t="n">
        <v>2766.4</v>
      </c>
      <c r="J76" s="23" t="n">
        <v>2416.8</v>
      </c>
      <c r="K76" s="23" t="n">
        <v>1520</v>
      </c>
      <c r="L76" s="23" t="n">
        <v>1322.4</v>
      </c>
      <c r="M76" s="23" t="n">
        <v>7540.8</v>
      </c>
      <c r="N76" s="23" t="n">
        <v>4827.6</v>
      </c>
      <c r="O76" s="23" t="n">
        <v>1962.50925</v>
      </c>
      <c r="P76" s="23" t="n">
        <v>3065.3</v>
      </c>
      <c r="Q76" s="23" t="n">
        <v>2092.8</v>
      </c>
      <c r="R76" s="23" t="n">
        <v>2229.51615488613</v>
      </c>
      <c r="S76" s="23" t="n">
        <v>2377.67897527473</v>
      </c>
    </row>
    <row r="77" customFormat="false" ht="15" hidden="false" customHeight="false" outlineLevel="0" collapsed="false">
      <c r="A77" s="3" t="n">
        <v>30001976</v>
      </c>
      <c r="B77" s="3" t="s">
        <v>263</v>
      </c>
      <c r="C77" s="3" t="s">
        <v>129</v>
      </c>
      <c r="D77" s="3" t="s">
        <v>187</v>
      </c>
      <c r="E77" s="3" t="s">
        <v>214</v>
      </c>
      <c r="F77" s="23" t="n">
        <v>2688</v>
      </c>
      <c r="G77" s="23" t="n">
        <v>3894</v>
      </c>
      <c r="H77" s="23" t="n">
        <v>5274</v>
      </c>
      <c r="I77" s="23" t="n">
        <v>3024</v>
      </c>
      <c r="J77" s="23" t="n">
        <v>1896</v>
      </c>
      <c r="K77" s="23" t="n">
        <v>3018</v>
      </c>
      <c r="L77" s="23" t="n">
        <v>1476</v>
      </c>
      <c r="M77" s="23" t="n">
        <v>3622</v>
      </c>
      <c r="N77" s="23" t="n">
        <v>2622</v>
      </c>
      <c r="O77" s="23" t="n">
        <v>1804</v>
      </c>
      <c r="P77" s="23" t="n">
        <v>3880</v>
      </c>
      <c r="Q77" s="23" t="n">
        <v>3158</v>
      </c>
      <c r="R77" s="23" t="n">
        <v>2658.67787940018</v>
      </c>
      <c r="S77" s="23" t="n">
        <v>2867.96773637743</v>
      </c>
    </row>
    <row r="78" customFormat="false" ht="15" hidden="false" customHeight="false" outlineLevel="0" collapsed="false">
      <c r="A78" s="3" t="n">
        <v>30000248</v>
      </c>
      <c r="B78" s="3" t="s">
        <v>264</v>
      </c>
      <c r="C78" s="3" t="s">
        <v>126</v>
      </c>
      <c r="D78" s="3" t="s">
        <v>187</v>
      </c>
      <c r="E78" s="3" t="s">
        <v>205</v>
      </c>
      <c r="F78" s="23" t="n">
        <v>3324</v>
      </c>
      <c r="G78" s="23" t="n">
        <v>4368</v>
      </c>
      <c r="H78" s="23" t="n">
        <v>2772</v>
      </c>
      <c r="I78" s="23" t="n">
        <v>4056</v>
      </c>
      <c r="J78" s="23" t="n">
        <v>2880</v>
      </c>
      <c r="K78" s="23" t="n">
        <v>2316</v>
      </c>
      <c r="L78" s="23" t="n">
        <v>2208</v>
      </c>
      <c r="M78" s="23" t="n">
        <v>2938.62954844367</v>
      </c>
      <c r="N78" s="23" t="n">
        <v>2868.62954844367</v>
      </c>
      <c r="O78" s="23" t="n">
        <v>3048.6</v>
      </c>
      <c r="P78" s="23" t="n">
        <v>3490.2</v>
      </c>
      <c r="Q78" s="23" t="n">
        <v>3374.4</v>
      </c>
      <c r="R78" s="23" t="n">
        <v>3323.36315485657</v>
      </c>
      <c r="S78" s="23" t="n">
        <v>2597.45208333333</v>
      </c>
    </row>
    <row r="79" customFormat="false" ht="15" hidden="false" customHeight="false" outlineLevel="0" collapsed="false">
      <c r="A79" s="3" t="n">
        <v>30002292</v>
      </c>
      <c r="B79" s="3" t="s">
        <v>265</v>
      </c>
      <c r="C79" s="3" t="s">
        <v>126</v>
      </c>
      <c r="D79" s="3" t="s">
        <v>187</v>
      </c>
      <c r="E79" s="3" t="s">
        <v>214</v>
      </c>
      <c r="F79" s="23" t="n">
        <v>2256</v>
      </c>
      <c r="G79" s="23" t="n">
        <v>2988</v>
      </c>
      <c r="H79" s="23" t="n">
        <v>2130</v>
      </c>
      <c r="I79" s="23" t="n">
        <v>4710</v>
      </c>
      <c r="J79" s="23" t="n">
        <v>2538</v>
      </c>
      <c r="K79" s="23" t="n">
        <v>4626</v>
      </c>
      <c r="L79" s="23" t="n">
        <v>1236</v>
      </c>
      <c r="M79" s="23" t="n">
        <v>2582</v>
      </c>
      <c r="N79" s="23" t="n">
        <v>2432</v>
      </c>
      <c r="O79" s="23" t="n">
        <v>1770</v>
      </c>
      <c r="P79" s="23" t="n">
        <v>2870</v>
      </c>
      <c r="Q79" s="23" t="n">
        <v>3425.6</v>
      </c>
      <c r="R79" s="23" t="n">
        <v>2839.73888411089</v>
      </c>
      <c r="S79" s="23" t="n">
        <v>4771.90902538878</v>
      </c>
    </row>
    <row r="80" customFormat="false" ht="15" hidden="false" customHeight="false" outlineLevel="0" collapsed="false">
      <c r="A80" s="3" t="n">
        <v>30000334</v>
      </c>
      <c r="B80" s="3" t="s">
        <v>266</v>
      </c>
      <c r="C80" s="3" t="s">
        <v>124</v>
      </c>
      <c r="D80" s="3" t="s">
        <v>187</v>
      </c>
      <c r="E80" s="3" t="s">
        <v>188</v>
      </c>
      <c r="F80" s="23" t="n">
        <v>2040</v>
      </c>
      <c r="G80" s="23" t="n">
        <v>4056</v>
      </c>
      <c r="H80" s="23" t="n">
        <v>4392</v>
      </c>
      <c r="I80" s="23" t="n">
        <v>3252</v>
      </c>
      <c r="J80" s="23" t="n">
        <v>2160</v>
      </c>
      <c r="K80" s="23" t="n">
        <v>2976</v>
      </c>
      <c r="L80" s="23" t="n">
        <v>1632</v>
      </c>
      <c r="M80" s="23" t="n">
        <v>2992</v>
      </c>
      <c r="N80" s="23" t="n">
        <v>1648</v>
      </c>
      <c r="O80" s="23" t="n">
        <v>1989.32</v>
      </c>
      <c r="P80" s="23" t="n">
        <v>2167.36</v>
      </c>
      <c r="Q80" s="23" t="n">
        <v>3616</v>
      </c>
      <c r="R80" s="23" t="n">
        <v>3036.76382068518</v>
      </c>
      <c r="S80" s="23" t="n">
        <v>2744.72916666667</v>
      </c>
    </row>
    <row r="81" customFormat="false" ht="15" hidden="false" customHeight="false" outlineLevel="0" collapsed="false">
      <c r="A81" s="3" t="n">
        <v>30000421</v>
      </c>
      <c r="B81" s="3" t="s">
        <v>267</v>
      </c>
      <c r="C81" s="3" t="s">
        <v>129</v>
      </c>
      <c r="D81" s="3" t="s">
        <v>187</v>
      </c>
      <c r="E81" s="3" t="s">
        <v>205</v>
      </c>
      <c r="F81" s="23" t="n">
        <v>3480</v>
      </c>
      <c r="G81" s="23" t="n">
        <v>2040</v>
      </c>
      <c r="H81" s="23" t="n">
        <v>2160</v>
      </c>
      <c r="I81" s="23" t="n">
        <v>3660</v>
      </c>
      <c r="J81" s="23" t="n">
        <v>2904</v>
      </c>
      <c r="K81" s="23" t="n">
        <v>2040</v>
      </c>
      <c r="L81" s="23" t="n">
        <v>1488</v>
      </c>
      <c r="M81" s="23" t="n">
        <v>3355.97472840024</v>
      </c>
      <c r="N81" s="23" t="n">
        <v>2621.51349839138</v>
      </c>
      <c r="O81" s="23" t="n">
        <v>1440.34</v>
      </c>
      <c r="P81" s="23" t="n">
        <v>3075.985</v>
      </c>
      <c r="Q81" s="23" t="n">
        <v>2821.38</v>
      </c>
      <c r="R81" s="23" t="n">
        <v>2645.39388268619</v>
      </c>
      <c r="S81" s="23" t="n">
        <v>2497.36945808371</v>
      </c>
    </row>
    <row r="82" customFormat="false" ht="15" hidden="false" customHeight="false" outlineLevel="0" collapsed="false">
      <c r="A82" s="3" t="n">
        <v>30002291</v>
      </c>
      <c r="B82" s="3" t="s">
        <v>268</v>
      </c>
      <c r="C82" s="3" t="s">
        <v>126</v>
      </c>
      <c r="D82" s="3" t="s">
        <v>187</v>
      </c>
      <c r="E82" s="3" t="s">
        <v>209</v>
      </c>
      <c r="F82" s="23" t="n">
        <v>2254.5</v>
      </c>
      <c r="G82" s="23" t="n">
        <v>2799</v>
      </c>
      <c r="H82" s="23" t="n">
        <v>3127.5</v>
      </c>
      <c r="I82" s="23" t="n">
        <v>3456</v>
      </c>
      <c r="J82" s="23" t="n">
        <v>900</v>
      </c>
      <c r="K82" s="23" t="n">
        <v>1840.5</v>
      </c>
      <c r="L82" s="23" t="n">
        <v>679.5</v>
      </c>
      <c r="M82" s="23" t="n">
        <v>1016.75</v>
      </c>
      <c r="N82" s="23" t="n">
        <v>1016.75</v>
      </c>
      <c r="O82" s="23" t="n">
        <v>1280.63</v>
      </c>
      <c r="P82" s="23" t="n">
        <v>993.03</v>
      </c>
      <c r="Q82" s="23" t="n">
        <v>1916.75</v>
      </c>
      <c r="R82" s="23" t="n">
        <v>2349.13021452411</v>
      </c>
      <c r="S82" s="23" t="n">
        <v>1360.77865511949</v>
      </c>
    </row>
    <row r="83" customFormat="false" ht="15" hidden="false" customHeight="false" outlineLevel="0" collapsed="false">
      <c r="A83" s="3" t="n">
        <v>30001992</v>
      </c>
      <c r="B83" s="3" t="s">
        <v>269</v>
      </c>
      <c r="C83" s="3" t="s">
        <v>129</v>
      </c>
      <c r="D83" s="3" t="s">
        <v>187</v>
      </c>
      <c r="E83" s="3" t="s">
        <v>205</v>
      </c>
      <c r="F83" s="23" t="n">
        <v>1872</v>
      </c>
      <c r="G83" s="23" t="n">
        <v>3408</v>
      </c>
      <c r="H83" s="23" t="n">
        <v>1428</v>
      </c>
      <c r="I83" s="23" t="n">
        <v>1956</v>
      </c>
      <c r="J83" s="23" t="n">
        <v>2952</v>
      </c>
      <c r="K83" s="23" t="n">
        <v>2544</v>
      </c>
      <c r="L83" s="23" t="n">
        <v>2724</v>
      </c>
      <c r="M83" s="23" t="n">
        <v>3384</v>
      </c>
      <c r="N83" s="23" t="n">
        <v>2928</v>
      </c>
      <c r="O83" s="23" t="n">
        <v>1585.505</v>
      </c>
      <c r="P83" s="23" t="n">
        <v>3762.105</v>
      </c>
      <c r="Q83" s="23" t="n">
        <v>4168.305</v>
      </c>
      <c r="R83" s="23" t="n">
        <v>2977.64044482107</v>
      </c>
      <c r="S83" s="23" t="n">
        <v>3260.56924102864</v>
      </c>
    </row>
    <row r="84" customFormat="false" ht="15" hidden="false" customHeight="false" outlineLevel="0" collapsed="false">
      <c r="A84" s="3" t="n">
        <v>30002076</v>
      </c>
      <c r="B84" s="3" t="s">
        <v>270</v>
      </c>
      <c r="C84" s="3" t="s">
        <v>129</v>
      </c>
      <c r="D84" s="3" t="s">
        <v>187</v>
      </c>
      <c r="E84" s="3" t="s">
        <v>188</v>
      </c>
      <c r="F84" s="23" t="n">
        <v>7296</v>
      </c>
      <c r="G84" s="23" t="n">
        <v>312</v>
      </c>
      <c r="H84" s="23" t="n">
        <v>1728</v>
      </c>
      <c r="I84" s="23" t="n">
        <v>2040</v>
      </c>
      <c r="J84" s="23" t="n">
        <v>972</v>
      </c>
      <c r="K84" s="23" t="n">
        <v>1812</v>
      </c>
      <c r="L84" s="23" t="n">
        <v>1320</v>
      </c>
      <c r="M84" s="23" t="n">
        <v>1796</v>
      </c>
      <c r="N84" s="23" t="n">
        <v>1410</v>
      </c>
      <c r="O84" s="23" t="n">
        <v>761.015</v>
      </c>
      <c r="P84" s="23" t="n">
        <v>759.3718</v>
      </c>
      <c r="Q84" s="23" t="n">
        <v>1494.55</v>
      </c>
      <c r="R84" s="23" t="n">
        <v>2360.95051644978</v>
      </c>
      <c r="S84" s="23" t="n">
        <v>1987.85535967285</v>
      </c>
    </row>
    <row r="85" customFormat="false" ht="15" hidden="false" customHeight="false" outlineLevel="0" collapsed="false">
      <c r="A85" s="3" t="n">
        <v>30002358</v>
      </c>
      <c r="B85" s="3" t="s">
        <v>271</v>
      </c>
      <c r="C85" s="3" t="s">
        <v>129</v>
      </c>
      <c r="D85" s="3" t="s">
        <v>187</v>
      </c>
      <c r="E85" s="3" t="s">
        <v>205</v>
      </c>
      <c r="F85" s="23" t="n">
        <v>3054</v>
      </c>
      <c r="G85" s="23" t="n">
        <v>3042</v>
      </c>
      <c r="H85" s="23" t="n">
        <v>1596</v>
      </c>
      <c r="I85" s="23" t="n">
        <v>1800</v>
      </c>
      <c r="J85" s="23" t="n">
        <v>1512</v>
      </c>
      <c r="K85" s="23" t="n">
        <v>2844</v>
      </c>
      <c r="L85" s="23" t="n">
        <v>552</v>
      </c>
      <c r="M85" s="23" t="n">
        <v>2500</v>
      </c>
      <c r="N85" s="23" t="n">
        <v>2362</v>
      </c>
      <c r="O85" s="23" t="n">
        <v>1999.705</v>
      </c>
      <c r="P85" s="23" t="n">
        <v>2294.705</v>
      </c>
      <c r="Q85" s="23" t="n">
        <v>2182.955</v>
      </c>
      <c r="R85" s="23" t="n">
        <v>2096.49464798045</v>
      </c>
      <c r="S85" s="23" t="n">
        <v>2290.81521302997</v>
      </c>
    </row>
    <row r="86" customFormat="false" ht="15" hidden="false" customHeight="false" outlineLevel="0" collapsed="false">
      <c r="A86" s="3" t="n">
        <v>30002325</v>
      </c>
      <c r="B86" s="3" t="s">
        <v>272</v>
      </c>
      <c r="C86" s="3" t="s">
        <v>126</v>
      </c>
      <c r="D86" s="3" t="s">
        <v>187</v>
      </c>
      <c r="E86" s="3" t="s">
        <v>209</v>
      </c>
      <c r="F86" s="23" t="n">
        <v>2137.5</v>
      </c>
      <c r="G86" s="23" t="n">
        <v>2493</v>
      </c>
      <c r="H86" s="23" t="n">
        <v>3118.5</v>
      </c>
      <c r="I86" s="23" t="n">
        <v>2925</v>
      </c>
      <c r="J86" s="23" t="n">
        <v>859.5</v>
      </c>
      <c r="K86" s="23" t="n">
        <v>1197</v>
      </c>
      <c r="L86" s="23" t="n">
        <v>517.5</v>
      </c>
      <c r="M86" s="23" t="n">
        <v>846</v>
      </c>
      <c r="N86" s="23" t="n">
        <v>846</v>
      </c>
      <c r="O86" s="23" t="n">
        <v>1283.37</v>
      </c>
      <c r="P86" s="23" t="n">
        <v>970.97</v>
      </c>
      <c r="Q86" s="23" t="n">
        <v>1446</v>
      </c>
      <c r="R86" s="23" t="n">
        <v>1777.53533222102</v>
      </c>
      <c r="S86" s="23" t="n">
        <v>911.393310831534</v>
      </c>
    </row>
    <row r="87" customFormat="false" ht="15" hidden="false" customHeight="false" outlineLevel="0" collapsed="false">
      <c r="A87" s="3" t="n">
        <v>30002273</v>
      </c>
      <c r="B87" s="3" t="s">
        <v>273</v>
      </c>
      <c r="C87" s="3" t="s">
        <v>128</v>
      </c>
      <c r="D87" s="3" t="s">
        <v>187</v>
      </c>
      <c r="E87" s="3" t="s">
        <v>209</v>
      </c>
      <c r="F87" s="23" t="n">
        <v>1958.4</v>
      </c>
      <c r="G87" s="23" t="n">
        <v>3981.6</v>
      </c>
      <c r="H87" s="23" t="n">
        <v>1548</v>
      </c>
      <c r="I87" s="23" t="n">
        <v>2008.8</v>
      </c>
      <c r="J87" s="23" t="n">
        <v>288</v>
      </c>
      <c r="K87" s="23" t="n">
        <v>2095.2</v>
      </c>
      <c r="L87" s="23" t="n">
        <v>1303.2</v>
      </c>
      <c r="M87" s="23" t="n">
        <v>1530.96</v>
      </c>
      <c r="N87" s="23" t="n">
        <v>1711.24</v>
      </c>
      <c r="O87" s="23" t="n">
        <v>1598.0978</v>
      </c>
      <c r="P87" s="23" t="n">
        <v>2298.0978</v>
      </c>
      <c r="Q87" s="23" t="n">
        <v>2170.057</v>
      </c>
      <c r="R87" s="23" t="n">
        <v>2024.68583496106</v>
      </c>
      <c r="S87" s="23" t="n">
        <v>1936.0925</v>
      </c>
    </row>
    <row r="88" customFormat="false" ht="15" hidden="false" customHeight="false" outlineLevel="0" collapsed="false">
      <c r="A88" s="3" t="n">
        <v>30000308</v>
      </c>
      <c r="B88" s="3" t="s">
        <v>274</v>
      </c>
      <c r="C88" s="3" t="s">
        <v>129</v>
      </c>
      <c r="D88" s="3" t="s">
        <v>187</v>
      </c>
      <c r="E88" s="3" t="s">
        <v>188</v>
      </c>
      <c r="F88" s="23" t="n">
        <v>2310</v>
      </c>
      <c r="G88" s="23" t="n">
        <v>1290</v>
      </c>
      <c r="H88" s="23" t="n">
        <v>1062</v>
      </c>
      <c r="I88" s="23" t="n">
        <v>1944</v>
      </c>
      <c r="J88" s="23" t="n">
        <v>3150</v>
      </c>
      <c r="K88" s="23" t="n">
        <v>2022</v>
      </c>
      <c r="L88" s="23" t="n">
        <v>882</v>
      </c>
      <c r="M88" s="23" t="n">
        <v>2284</v>
      </c>
      <c r="N88" s="23" t="n">
        <v>2360</v>
      </c>
      <c r="O88" s="23" t="n">
        <v>1692.25</v>
      </c>
      <c r="P88" s="23" t="n">
        <v>2097.457</v>
      </c>
      <c r="Q88" s="23" t="n">
        <v>1635</v>
      </c>
      <c r="R88" s="23" t="n">
        <v>2218.57941141156</v>
      </c>
      <c r="S88" s="23" t="n">
        <v>2121.64411711733</v>
      </c>
    </row>
    <row r="89" customFormat="false" ht="15" hidden="false" customHeight="false" outlineLevel="0" collapsed="false">
      <c r="A89" s="3" t="n">
        <v>30002262</v>
      </c>
      <c r="B89" s="3" t="s">
        <v>275</v>
      </c>
      <c r="C89" s="3" t="s">
        <v>126</v>
      </c>
      <c r="D89" s="3" t="s">
        <v>187</v>
      </c>
      <c r="E89" s="3" t="s">
        <v>209</v>
      </c>
      <c r="F89" s="23" t="n">
        <v>648.6</v>
      </c>
      <c r="G89" s="23" t="n">
        <v>1697.4</v>
      </c>
      <c r="H89" s="23" t="n">
        <v>2290.8</v>
      </c>
      <c r="I89" s="23" t="n">
        <v>1017.75</v>
      </c>
      <c r="J89" s="23" t="n">
        <v>427.8</v>
      </c>
      <c r="K89" s="23" t="n">
        <v>5088.75</v>
      </c>
      <c r="L89" s="23" t="n">
        <v>1248.9</v>
      </c>
      <c r="M89" s="23" t="n">
        <v>1629.35</v>
      </c>
      <c r="N89" s="23" t="n">
        <v>1800</v>
      </c>
      <c r="O89" s="23" t="n">
        <v>792.72456</v>
      </c>
      <c r="P89" s="23" t="n">
        <v>786.713</v>
      </c>
      <c r="Q89" s="23" t="n">
        <v>3158.873</v>
      </c>
      <c r="R89" s="23" t="n">
        <v>1374.29989519058</v>
      </c>
      <c r="S89" s="23" t="n">
        <v>1292.36167678403</v>
      </c>
    </row>
    <row r="90" customFormat="false" ht="15" hidden="false" customHeight="false" outlineLevel="0" collapsed="false">
      <c r="A90" s="3" t="n">
        <v>30002276</v>
      </c>
      <c r="B90" s="3" t="s">
        <v>276</v>
      </c>
      <c r="C90" s="3" t="s">
        <v>128</v>
      </c>
      <c r="D90" s="3" t="s">
        <v>187</v>
      </c>
      <c r="E90" s="3" t="s">
        <v>209</v>
      </c>
      <c r="F90" s="23" t="n">
        <v>885.6</v>
      </c>
      <c r="G90" s="23" t="n">
        <v>3556.8</v>
      </c>
      <c r="H90" s="23" t="n">
        <v>3348</v>
      </c>
      <c r="I90" s="23" t="n">
        <v>1612.8</v>
      </c>
      <c r="J90" s="23" t="n">
        <v>540</v>
      </c>
      <c r="K90" s="23" t="n">
        <v>1008</v>
      </c>
      <c r="L90" s="23" t="n">
        <v>907.2</v>
      </c>
      <c r="M90" s="23" t="n">
        <v>2471.84</v>
      </c>
      <c r="N90" s="23" t="n">
        <v>1964.24</v>
      </c>
      <c r="O90" s="23" t="n">
        <v>1785.6</v>
      </c>
      <c r="P90" s="23" t="n">
        <v>2115.6</v>
      </c>
      <c r="Q90" s="23" t="n">
        <v>1890.377</v>
      </c>
      <c r="R90" s="23" t="n">
        <v>1690.54454810618</v>
      </c>
      <c r="S90" s="23" t="n">
        <v>1613.8625</v>
      </c>
    </row>
    <row r="91" customFormat="false" ht="15" hidden="false" customHeight="false" outlineLevel="0" collapsed="false">
      <c r="A91" s="3" t="n">
        <v>30002178</v>
      </c>
      <c r="B91" s="3" t="s">
        <v>277</v>
      </c>
      <c r="C91" s="3" t="s">
        <v>129</v>
      </c>
      <c r="D91" s="3" t="s">
        <v>187</v>
      </c>
      <c r="E91" s="3" t="s">
        <v>214</v>
      </c>
      <c r="F91" s="23" t="n">
        <v>1892.4</v>
      </c>
      <c r="G91" s="23" t="n">
        <v>1795.5</v>
      </c>
      <c r="H91" s="23" t="n">
        <v>991.8</v>
      </c>
      <c r="I91" s="23" t="n">
        <v>1197</v>
      </c>
      <c r="J91" s="23" t="n">
        <v>2587.8</v>
      </c>
      <c r="K91" s="23" t="n">
        <v>2211.6</v>
      </c>
      <c r="L91" s="23" t="n">
        <v>1624.5</v>
      </c>
      <c r="M91" s="23" t="n">
        <v>2265.3</v>
      </c>
      <c r="N91" s="23" t="n">
        <v>2080</v>
      </c>
      <c r="O91" s="23" t="n">
        <v>1763.11289</v>
      </c>
      <c r="P91" s="23" t="n">
        <v>1970.11289</v>
      </c>
      <c r="Q91" s="23" t="n">
        <v>1665.5</v>
      </c>
      <c r="R91" s="23" t="n">
        <v>1700.52273972842</v>
      </c>
      <c r="S91" s="23" t="n">
        <v>1775.15420959057</v>
      </c>
    </row>
    <row r="92" customFormat="false" ht="15" hidden="false" customHeight="false" outlineLevel="0" collapsed="false">
      <c r="A92" s="3" t="n">
        <v>30002326</v>
      </c>
      <c r="B92" s="3" t="s">
        <v>278</v>
      </c>
      <c r="C92" s="3" t="s">
        <v>124</v>
      </c>
      <c r="D92" s="3" t="s">
        <v>187</v>
      </c>
      <c r="E92" s="3" t="s">
        <v>188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1485</v>
      </c>
      <c r="K92" s="23" t="n">
        <v>8838</v>
      </c>
      <c r="L92" s="23" t="n">
        <v>2025</v>
      </c>
      <c r="M92" s="23" t="n">
        <v>0</v>
      </c>
      <c r="N92" s="23" t="n">
        <v>0</v>
      </c>
      <c r="O92" s="23" t="n">
        <v>0</v>
      </c>
      <c r="P92" s="23" t="n">
        <v>0</v>
      </c>
      <c r="Q92" s="23" t="n">
        <v>4000</v>
      </c>
      <c r="R92" s="23" t="n">
        <v>2000</v>
      </c>
      <c r="S92" s="23" t="n">
        <v>5500</v>
      </c>
    </row>
    <row r="93" customFormat="false" ht="15" hidden="false" customHeight="false" outlineLevel="0" collapsed="false">
      <c r="A93" s="3" t="n">
        <v>30001149</v>
      </c>
      <c r="B93" s="3" t="s">
        <v>279</v>
      </c>
      <c r="C93" s="3" t="s">
        <v>127</v>
      </c>
      <c r="D93" s="3" t="s">
        <v>187</v>
      </c>
      <c r="E93" s="3" t="s">
        <v>214</v>
      </c>
      <c r="F93" s="23" t="n">
        <v>1656</v>
      </c>
      <c r="G93" s="23" t="n">
        <v>2280</v>
      </c>
      <c r="H93" s="23" t="n">
        <v>900</v>
      </c>
      <c r="I93" s="23" t="n">
        <v>1326</v>
      </c>
      <c r="J93" s="23" t="n">
        <v>2184</v>
      </c>
      <c r="K93" s="23" t="n">
        <v>1890</v>
      </c>
      <c r="L93" s="23" t="n">
        <v>1152</v>
      </c>
      <c r="M93" s="23" t="n">
        <v>2535</v>
      </c>
      <c r="N93" s="23" t="n">
        <v>1950</v>
      </c>
      <c r="O93" s="23" t="n">
        <v>1712.8</v>
      </c>
      <c r="P93" s="23" t="n">
        <v>1512.8</v>
      </c>
      <c r="Q93" s="23" t="n">
        <v>1850</v>
      </c>
      <c r="R93" s="23" t="n">
        <v>1709.92604682713</v>
      </c>
      <c r="S93" s="23" t="n">
        <v>1509.92976197472</v>
      </c>
    </row>
    <row r="94" customFormat="false" ht="15" hidden="false" customHeight="false" outlineLevel="0" collapsed="false">
      <c r="A94" s="3" t="n">
        <v>30001407</v>
      </c>
      <c r="B94" s="3" t="s">
        <v>280</v>
      </c>
      <c r="C94" s="3" t="s">
        <v>129</v>
      </c>
      <c r="D94" s="3" t="s">
        <v>187</v>
      </c>
      <c r="E94" s="3" t="s">
        <v>205</v>
      </c>
      <c r="F94" s="23" t="n">
        <v>2187</v>
      </c>
      <c r="G94" s="23" t="n">
        <v>1741.5</v>
      </c>
      <c r="H94" s="23" t="n">
        <v>1219.5</v>
      </c>
      <c r="I94" s="23" t="n">
        <v>1332</v>
      </c>
      <c r="J94" s="23" t="n">
        <v>1737</v>
      </c>
      <c r="K94" s="23" t="n">
        <v>2016</v>
      </c>
      <c r="L94" s="23" t="n">
        <v>1084.5</v>
      </c>
      <c r="M94" s="23" t="n">
        <v>1610</v>
      </c>
      <c r="N94" s="23" t="n">
        <v>1472.5</v>
      </c>
      <c r="O94" s="23" t="n">
        <v>1408.8</v>
      </c>
      <c r="P94" s="23" t="n">
        <v>1621.533</v>
      </c>
      <c r="Q94" s="23" t="n">
        <v>1770.04</v>
      </c>
      <c r="R94" s="23" t="n">
        <v>1525.53890052674</v>
      </c>
      <c r="S94" s="23" t="n">
        <v>1253.78942311821</v>
      </c>
    </row>
    <row r="95" customFormat="false" ht="15" hidden="false" customHeight="false" outlineLevel="0" collapsed="false">
      <c r="A95" s="3" t="n">
        <v>30002269</v>
      </c>
      <c r="B95" s="3" t="s">
        <v>281</v>
      </c>
      <c r="C95" s="3" t="s">
        <v>124</v>
      </c>
      <c r="D95" s="3" t="s">
        <v>187</v>
      </c>
      <c r="E95" s="3" t="s">
        <v>188</v>
      </c>
      <c r="F95" s="23" t="n">
        <v>1734</v>
      </c>
      <c r="G95" s="23" t="n">
        <v>378</v>
      </c>
      <c r="H95" s="23" t="n">
        <v>846</v>
      </c>
      <c r="I95" s="23" t="n">
        <v>1398</v>
      </c>
      <c r="J95" s="23" t="n">
        <v>1116</v>
      </c>
      <c r="K95" s="23" t="n">
        <v>4392</v>
      </c>
      <c r="L95" s="23" t="n">
        <v>1356</v>
      </c>
      <c r="M95" s="23" t="n">
        <v>3621.5</v>
      </c>
      <c r="N95" s="23" t="n">
        <v>2671.5</v>
      </c>
      <c r="O95" s="23" t="n">
        <v>1698.485</v>
      </c>
      <c r="P95" s="23" t="n">
        <v>2008.305</v>
      </c>
      <c r="Q95" s="23" t="n">
        <v>839.005</v>
      </c>
      <c r="R95" s="23" t="n">
        <v>1010.96430061848</v>
      </c>
      <c r="S95" s="23" t="n">
        <v>1143.93583865999</v>
      </c>
    </row>
    <row r="96" customFormat="false" ht="15" hidden="false" customHeight="false" outlineLevel="0" collapsed="false">
      <c r="A96" s="3" t="n">
        <v>30002261</v>
      </c>
      <c r="B96" s="3" t="s">
        <v>282</v>
      </c>
      <c r="C96" s="3" t="s">
        <v>126</v>
      </c>
      <c r="D96" s="3" t="s">
        <v>187</v>
      </c>
      <c r="E96" s="3" t="s">
        <v>209</v>
      </c>
      <c r="F96" s="23" t="n">
        <v>1449</v>
      </c>
      <c r="G96" s="23" t="n">
        <v>1048.8</v>
      </c>
      <c r="H96" s="23" t="n">
        <v>817.65</v>
      </c>
      <c r="I96" s="23" t="n">
        <v>783.15</v>
      </c>
      <c r="J96" s="23" t="n">
        <v>472.65</v>
      </c>
      <c r="K96" s="23" t="n">
        <v>5133.6</v>
      </c>
      <c r="L96" s="23" t="n">
        <v>1473.15</v>
      </c>
      <c r="M96" s="23" t="n">
        <v>1686.25</v>
      </c>
      <c r="N96" s="23" t="n">
        <v>1786.25</v>
      </c>
      <c r="O96" s="23" t="n">
        <v>743.47544</v>
      </c>
      <c r="P96" s="23" t="n">
        <v>735.787</v>
      </c>
      <c r="Q96" s="23" t="n">
        <v>3263.627</v>
      </c>
      <c r="R96" s="23" t="n">
        <v>1410.1185176138</v>
      </c>
      <c r="S96" s="23" t="n">
        <v>1285.2181000022</v>
      </c>
    </row>
    <row r="97" customFormat="false" ht="15" hidden="false" customHeight="false" outlineLevel="0" collapsed="false">
      <c r="A97" s="3" t="n">
        <v>30001925</v>
      </c>
      <c r="B97" s="3" t="s">
        <v>283</v>
      </c>
      <c r="C97" s="3" t="s">
        <v>129</v>
      </c>
      <c r="D97" s="3" t="s">
        <v>187</v>
      </c>
      <c r="E97" s="3" t="s">
        <v>188</v>
      </c>
      <c r="F97" s="23" t="n">
        <v>234.6</v>
      </c>
      <c r="G97" s="23" t="n">
        <v>4333.2</v>
      </c>
      <c r="H97" s="23" t="n">
        <v>89.7</v>
      </c>
      <c r="I97" s="23" t="n">
        <v>862.5</v>
      </c>
      <c r="J97" s="23" t="n">
        <v>2956.65</v>
      </c>
      <c r="K97" s="23" t="n">
        <v>886.65</v>
      </c>
      <c r="L97" s="23" t="n">
        <v>327.75</v>
      </c>
      <c r="M97" s="23" t="n">
        <v>6207</v>
      </c>
      <c r="N97" s="23" t="n">
        <v>2707</v>
      </c>
      <c r="O97" s="23" t="n">
        <v>1346.5</v>
      </c>
      <c r="P97" s="23" t="n">
        <v>4936</v>
      </c>
      <c r="Q97" s="23" t="n">
        <v>3500.2</v>
      </c>
      <c r="R97" s="23" t="n">
        <v>3165.74184298779</v>
      </c>
      <c r="S97" s="23" t="n">
        <v>2988.15041006868</v>
      </c>
    </row>
    <row r="98" customFormat="false" ht="15" hidden="false" customHeight="false" outlineLevel="0" collapsed="false">
      <c r="A98" s="3" t="n">
        <v>30001924</v>
      </c>
      <c r="B98" s="3" t="s">
        <v>284</v>
      </c>
      <c r="C98" s="3" t="s">
        <v>126</v>
      </c>
      <c r="D98" s="3" t="s">
        <v>187</v>
      </c>
      <c r="E98" s="3" t="s">
        <v>214</v>
      </c>
      <c r="F98" s="23" t="n">
        <v>1008</v>
      </c>
      <c r="G98" s="23" t="n">
        <v>1656</v>
      </c>
      <c r="H98" s="23" t="n">
        <v>768</v>
      </c>
      <c r="I98" s="23" t="n">
        <v>732</v>
      </c>
      <c r="J98" s="23" t="n">
        <v>2784</v>
      </c>
      <c r="K98" s="23" t="n">
        <v>1272</v>
      </c>
      <c r="L98" s="23" t="n">
        <v>1248</v>
      </c>
      <c r="M98" s="23" t="n">
        <v>885.423368740516</v>
      </c>
      <c r="N98" s="23" t="n">
        <v>897.423368740516</v>
      </c>
      <c r="O98" s="23" t="n">
        <v>1265.038</v>
      </c>
      <c r="P98" s="23" t="n">
        <v>1365.038</v>
      </c>
      <c r="Q98" s="23" t="n">
        <v>1351.46136874052</v>
      </c>
      <c r="R98" s="23" t="n">
        <v>973.947249474253</v>
      </c>
      <c r="S98" s="23" t="n">
        <v>988.305434370258</v>
      </c>
    </row>
    <row r="99" customFormat="false" ht="15" hidden="false" customHeight="false" outlineLevel="0" collapsed="false">
      <c r="A99" s="3" t="n">
        <v>30001665</v>
      </c>
      <c r="B99" s="3" t="s">
        <v>285</v>
      </c>
      <c r="C99" s="3" t="s">
        <v>128</v>
      </c>
      <c r="D99" s="3" t="s">
        <v>187</v>
      </c>
      <c r="E99" s="3" t="s">
        <v>214</v>
      </c>
      <c r="F99" s="23" t="n">
        <v>2168</v>
      </c>
      <c r="G99" s="23" t="n">
        <v>1264</v>
      </c>
      <c r="H99" s="23" t="n">
        <v>992</v>
      </c>
      <c r="I99" s="23" t="n">
        <v>936</v>
      </c>
      <c r="J99" s="23" t="n">
        <v>952</v>
      </c>
      <c r="K99" s="23" t="n">
        <v>944</v>
      </c>
      <c r="L99" s="23" t="n">
        <v>752</v>
      </c>
      <c r="M99" s="23" t="n">
        <v>1930</v>
      </c>
      <c r="N99" s="23" t="n">
        <v>1468</v>
      </c>
      <c r="O99" s="23" t="n">
        <v>1073.895</v>
      </c>
      <c r="P99" s="23" t="n">
        <v>1323.895</v>
      </c>
      <c r="Q99" s="23" t="n">
        <v>1401.92846</v>
      </c>
      <c r="R99" s="23" t="n">
        <v>1114.43677754267</v>
      </c>
      <c r="S99" s="23" t="n">
        <v>1014.87656831345</v>
      </c>
    </row>
    <row r="100" customFormat="false" ht="15" hidden="false" customHeight="false" outlineLevel="0" collapsed="false">
      <c r="A100" s="3" t="n">
        <v>30002285</v>
      </c>
      <c r="B100" s="3" t="s">
        <v>286</v>
      </c>
      <c r="C100" s="3" t="s">
        <v>129</v>
      </c>
      <c r="D100" s="3" t="s">
        <v>187</v>
      </c>
      <c r="E100" s="3" t="s">
        <v>209</v>
      </c>
      <c r="F100" s="23" t="n">
        <v>2502</v>
      </c>
      <c r="G100" s="23" t="n">
        <v>816</v>
      </c>
      <c r="H100" s="23" t="n">
        <v>864</v>
      </c>
      <c r="I100" s="23" t="n">
        <v>1380</v>
      </c>
      <c r="J100" s="23" t="n">
        <v>540</v>
      </c>
      <c r="K100" s="23" t="n">
        <v>876</v>
      </c>
      <c r="L100" s="23" t="n">
        <v>1098</v>
      </c>
      <c r="M100" s="23" t="n">
        <v>2044</v>
      </c>
      <c r="N100" s="23" t="n">
        <v>1450</v>
      </c>
      <c r="O100" s="23" t="n">
        <v>1179.7276</v>
      </c>
      <c r="P100" s="23" t="n">
        <v>1694.1276</v>
      </c>
      <c r="Q100" s="23" t="n">
        <v>894.1276</v>
      </c>
      <c r="R100" s="23" t="n">
        <v>1050.81554636501</v>
      </c>
      <c r="S100" s="23" t="n">
        <v>1265.64786039367</v>
      </c>
    </row>
    <row r="101" customFormat="false" ht="15" hidden="false" customHeight="false" outlineLevel="0" collapsed="false">
      <c r="A101" s="3" t="n">
        <v>30002274</v>
      </c>
      <c r="B101" s="3" t="s">
        <v>287</v>
      </c>
      <c r="C101" s="3" t="s">
        <v>128</v>
      </c>
      <c r="D101" s="3" t="s">
        <v>187</v>
      </c>
      <c r="E101" s="3" t="s">
        <v>209</v>
      </c>
      <c r="F101" s="23" t="n">
        <v>761.4</v>
      </c>
      <c r="G101" s="23" t="n">
        <v>1790.1</v>
      </c>
      <c r="H101" s="23" t="n">
        <v>664.2</v>
      </c>
      <c r="I101" s="23" t="n">
        <v>1012.5</v>
      </c>
      <c r="J101" s="23" t="n">
        <v>1279.8</v>
      </c>
      <c r="K101" s="23" t="n">
        <v>1328.4</v>
      </c>
      <c r="L101" s="23" t="n">
        <v>599.4</v>
      </c>
      <c r="M101" s="23" t="n">
        <v>1631.5</v>
      </c>
      <c r="N101" s="23" t="n">
        <v>1738.2</v>
      </c>
      <c r="O101" s="23" t="n">
        <v>1535.4</v>
      </c>
      <c r="P101" s="23" t="n">
        <v>1585.4</v>
      </c>
      <c r="Q101" s="23" t="n">
        <v>1637.946</v>
      </c>
      <c r="R101" s="23" t="n">
        <v>1210.97761992699</v>
      </c>
      <c r="S101" s="23" t="n">
        <v>1295.59375</v>
      </c>
    </row>
    <row r="102" customFormat="false" ht="15" hidden="false" customHeight="false" outlineLevel="0" collapsed="false">
      <c r="A102" s="3" t="n">
        <v>30000383</v>
      </c>
      <c r="B102" s="3" t="s">
        <v>288</v>
      </c>
      <c r="C102" s="3" t="s">
        <v>124</v>
      </c>
      <c r="D102" s="3" t="s">
        <v>187</v>
      </c>
      <c r="E102" s="3" t="s">
        <v>205</v>
      </c>
      <c r="F102" s="23" t="n">
        <v>984</v>
      </c>
      <c r="G102" s="23" t="n">
        <v>564</v>
      </c>
      <c r="H102" s="23" t="n">
        <v>1344</v>
      </c>
      <c r="I102" s="23" t="n">
        <v>672</v>
      </c>
      <c r="J102" s="23" t="n">
        <v>1728</v>
      </c>
      <c r="K102" s="23" t="n">
        <v>1512</v>
      </c>
      <c r="L102" s="23" t="n">
        <v>168</v>
      </c>
      <c r="M102" s="23" t="n">
        <v>1732</v>
      </c>
      <c r="N102" s="23" t="n">
        <v>1794</v>
      </c>
      <c r="O102" s="23" t="n">
        <v>1070.02</v>
      </c>
      <c r="P102" s="23" t="n">
        <v>1997.87</v>
      </c>
      <c r="Q102" s="23" t="n">
        <v>1770.97</v>
      </c>
      <c r="R102" s="23" t="n">
        <v>1539.36511683974</v>
      </c>
      <c r="S102" s="23" t="n">
        <v>1752.74906276413</v>
      </c>
    </row>
    <row r="103" customFormat="false" ht="15" hidden="false" customHeight="false" outlineLevel="0" collapsed="false">
      <c r="A103" s="3" t="n">
        <v>30000479</v>
      </c>
      <c r="B103" s="3" t="s">
        <v>289</v>
      </c>
      <c r="C103" s="3" t="s">
        <v>129</v>
      </c>
      <c r="D103" s="3" t="s">
        <v>187</v>
      </c>
      <c r="E103" s="3" t="s">
        <v>205</v>
      </c>
      <c r="F103" s="23" t="n">
        <v>456</v>
      </c>
      <c r="G103" s="23" t="n">
        <v>1536</v>
      </c>
      <c r="H103" s="23" t="n">
        <v>1224</v>
      </c>
      <c r="I103" s="23" t="n">
        <v>1656</v>
      </c>
      <c r="J103" s="23" t="n">
        <v>144</v>
      </c>
      <c r="K103" s="23" t="n">
        <v>1452</v>
      </c>
      <c r="L103" s="23" t="n">
        <v>216</v>
      </c>
      <c r="M103" s="23" t="n">
        <v>478</v>
      </c>
      <c r="N103" s="23" t="n">
        <v>370</v>
      </c>
      <c r="O103" s="23" t="n">
        <v>421.13</v>
      </c>
      <c r="P103" s="23" t="n">
        <v>634.13</v>
      </c>
      <c r="Q103" s="23" t="n">
        <v>1533.13</v>
      </c>
      <c r="R103" s="23" t="n">
        <v>445.129715195072</v>
      </c>
      <c r="S103" s="23" t="n">
        <v>265.916791270201</v>
      </c>
    </row>
    <row r="104" customFormat="false" ht="15" hidden="false" customHeight="false" outlineLevel="0" collapsed="false">
      <c r="A104" s="3" t="n">
        <v>30000355</v>
      </c>
      <c r="B104" s="3" t="s">
        <v>290</v>
      </c>
      <c r="C104" s="3" t="s">
        <v>129</v>
      </c>
      <c r="D104" s="3" t="s">
        <v>187</v>
      </c>
      <c r="E104" s="3" t="s">
        <v>188</v>
      </c>
      <c r="F104" s="23" t="n">
        <v>990</v>
      </c>
      <c r="G104" s="23" t="n">
        <v>1284</v>
      </c>
      <c r="H104" s="23" t="n">
        <v>672</v>
      </c>
      <c r="I104" s="23" t="n">
        <v>1206</v>
      </c>
      <c r="J104" s="23" t="n">
        <v>990</v>
      </c>
      <c r="K104" s="23" t="n">
        <v>852</v>
      </c>
      <c r="L104" s="23" t="n">
        <v>630</v>
      </c>
      <c r="M104" s="23" t="n">
        <v>1586.70657675742</v>
      </c>
      <c r="N104" s="23" t="n">
        <v>1133.88172043011</v>
      </c>
      <c r="O104" s="23" t="n">
        <v>1843.0102</v>
      </c>
      <c r="P104" s="23" t="n">
        <v>2352.43172043011</v>
      </c>
      <c r="Q104" s="23" t="n">
        <v>2285.09172043011</v>
      </c>
      <c r="R104" s="23" t="n">
        <v>1742.57331737408</v>
      </c>
      <c r="S104" s="23" t="n">
        <v>1230.81875632418</v>
      </c>
    </row>
    <row r="105" customFormat="false" ht="15" hidden="false" customHeight="false" outlineLevel="0" collapsed="false">
      <c r="A105" s="3" t="n">
        <v>30002217</v>
      </c>
      <c r="B105" s="3" t="s">
        <v>291</v>
      </c>
      <c r="C105" s="3" t="s">
        <v>129</v>
      </c>
      <c r="D105" s="3" t="s">
        <v>187</v>
      </c>
      <c r="E105" s="3" t="s">
        <v>188</v>
      </c>
      <c r="F105" s="23" t="n">
        <v>65.55</v>
      </c>
      <c r="G105" s="23" t="n">
        <v>2387.4</v>
      </c>
      <c r="H105" s="23" t="n">
        <v>210.45</v>
      </c>
      <c r="I105" s="23" t="n">
        <v>258.75</v>
      </c>
      <c r="J105" s="23" t="n">
        <v>2149.35</v>
      </c>
      <c r="K105" s="23" t="n">
        <v>800.4</v>
      </c>
      <c r="L105" s="23" t="n">
        <v>172.5</v>
      </c>
      <c r="M105" s="23" t="n">
        <v>3544.85</v>
      </c>
      <c r="N105" s="23" t="n">
        <v>2051.75</v>
      </c>
      <c r="O105" s="23" t="n">
        <v>1051.75</v>
      </c>
      <c r="P105" s="23" t="n">
        <v>2429.75</v>
      </c>
      <c r="Q105" s="23" t="n">
        <v>1716.35</v>
      </c>
      <c r="R105" s="23" t="n">
        <v>1770.28798089256</v>
      </c>
      <c r="S105" s="23" t="n">
        <v>1765.751353857</v>
      </c>
    </row>
    <row r="106" customFormat="false" ht="15" hidden="false" customHeight="false" outlineLevel="0" collapsed="false">
      <c r="A106" s="3" t="n">
        <v>30002282</v>
      </c>
      <c r="B106" s="3" t="s">
        <v>292</v>
      </c>
      <c r="C106" s="3" t="s">
        <v>129</v>
      </c>
      <c r="D106" s="3" t="s">
        <v>187</v>
      </c>
      <c r="E106" s="3" t="s">
        <v>209</v>
      </c>
      <c r="F106" s="23" t="n">
        <v>1146</v>
      </c>
      <c r="G106" s="23" t="n">
        <v>750</v>
      </c>
      <c r="H106" s="23" t="n">
        <v>1194</v>
      </c>
      <c r="I106" s="23" t="n">
        <v>912</v>
      </c>
      <c r="J106" s="23" t="n">
        <v>222</v>
      </c>
      <c r="K106" s="23" t="n">
        <v>492</v>
      </c>
      <c r="L106" s="23" t="n">
        <v>774</v>
      </c>
      <c r="M106" s="23" t="n">
        <v>1082.4</v>
      </c>
      <c r="N106" s="23" t="n">
        <v>1448</v>
      </c>
      <c r="O106" s="23" t="n">
        <v>568.2724</v>
      </c>
      <c r="P106" s="23" t="n">
        <v>953.8724</v>
      </c>
      <c r="Q106" s="23" t="n">
        <v>953.8724</v>
      </c>
      <c r="R106" s="23" t="n">
        <v>852.910883735851</v>
      </c>
      <c r="S106" s="23" t="n">
        <v>865.315066028557</v>
      </c>
    </row>
    <row r="107" customFormat="false" ht="15" hidden="false" customHeight="false" outlineLevel="0" collapsed="false">
      <c r="A107" s="3" t="n">
        <v>30001988</v>
      </c>
      <c r="B107" s="3" t="s">
        <v>293</v>
      </c>
      <c r="C107" s="3" t="s">
        <v>129</v>
      </c>
      <c r="D107" s="3" t="s">
        <v>187</v>
      </c>
      <c r="E107" s="3" t="s">
        <v>188</v>
      </c>
      <c r="F107" s="23" t="n">
        <v>410.55</v>
      </c>
      <c r="G107" s="23" t="n">
        <v>696.9</v>
      </c>
      <c r="H107" s="23" t="n">
        <v>220.8</v>
      </c>
      <c r="I107" s="23" t="n">
        <v>303.6</v>
      </c>
      <c r="J107" s="23" t="n">
        <v>1790.55</v>
      </c>
      <c r="K107" s="23" t="n">
        <v>928.05</v>
      </c>
      <c r="L107" s="23" t="n">
        <v>113.85</v>
      </c>
      <c r="M107" s="23" t="n">
        <v>3000</v>
      </c>
      <c r="N107" s="23" t="n">
        <v>1000</v>
      </c>
      <c r="O107" s="23" t="n">
        <v>1000</v>
      </c>
      <c r="P107" s="23" t="n">
        <v>2836</v>
      </c>
      <c r="Q107" s="23" t="n">
        <v>1500</v>
      </c>
      <c r="R107" s="23" t="n">
        <v>1537.605</v>
      </c>
      <c r="S107" s="23" t="n">
        <v>1544.06873301781</v>
      </c>
    </row>
    <row r="108" customFormat="false" ht="15" hidden="false" customHeight="false" outlineLevel="0" collapsed="false">
      <c r="A108" s="3" t="n">
        <v>30001776</v>
      </c>
      <c r="B108" s="3" t="s">
        <v>294</v>
      </c>
      <c r="C108" s="3" t="s">
        <v>126</v>
      </c>
      <c r="D108" s="3" t="s">
        <v>187</v>
      </c>
      <c r="E108" s="3" t="s">
        <v>214</v>
      </c>
      <c r="F108" s="23" t="n">
        <v>1824</v>
      </c>
      <c r="G108" s="23" t="n">
        <v>972</v>
      </c>
      <c r="H108" s="23" t="n">
        <v>264</v>
      </c>
      <c r="I108" s="23" t="n">
        <v>360</v>
      </c>
      <c r="J108" s="23" t="n">
        <v>120</v>
      </c>
      <c r="K108" s="23" t="n">
        <v>420</v>
      </c>
      <c r="L108" s="23" t="n">
        <v>1032</v>
      </c>
      <c r="M108" s="23" t="n">
        <v>580.576631259484</v>
      </c>
      <c r="N108" s="23" t="n">
        <v>461.576631259484</v>
      </c>
      <c r="O108" s="23" t="n">
        <v>719.538631259484</v>
      </c>
      <c r="P108" s="23" t="n">
        <v>1050.962</v>
      </c>
      <c r="Q108" s="23" t="n">
        <v>520.538631259484</v>
      </c>
      <c r="R108" s="23" t="n">
        <v>579.877327639537</v>
      </c>
      <c r="S108" s="23" t="n">
        <v>552.673769104418</v>
      </c>
    </row>
    <row r="109" customFormat="false" ht="15" hidden="false" customHeight="false" outlineLevel="0" collapsed="false">
      <c r="A109" s="3" t="n">
        <v>30001716</v>
      </c>
      <c r="B109" s="3" t="s">
        <v>295</v>
      </c>
      <c r="C109" s="3" t="s">
        <v>124</v>
      </c>
      <c r="D109" s="3" t="s">
        <v>187</v>
      </c>
      <c r="E109" s="3" t="s">
        <v>188</v>
      </c>
      <c r="F109" s="23" t="n">
        <v>1125</v>
      </c>
      <c r="G109" s="23" t="n">
        <v>639</v>
      </c>
      <c r="H109" s="23" t="n">
        <v>1053</v>
      </c>
      <c r="I109" s="23" t="n">
        <v>279</v>
      </c>
      <c r="J109" s="23" t="n">
        <v>148.5</v>
      </c>
      <c r="K109" s="23" t="n">
        <v>265.5</v>
      </c>
      <c r="L109" s="23" t="n">
        <v>121.5</v>
      </c>
      <c r="M109" s="23" t="n">
        <v>2168.25</v>
      </c>
      <c r="N109" s="23" t="n">
        <v>1168.25</v>
      </c>
      <c r="O109" s="23" t="n">
        <v>668.25</v>
      </c>
      <c r="P109" s="23" t="n">
        <v>1168.25</v>
      </c>
      <c r="Q109" s="23" t="n">
        <v>1168.25</v>
      </c>
      <c r="R109" s="23" t="n">
        <v>471.802083333333</v>
      </c>
      <c r="S109" s="23" t="n">
        <v>474.466145833333</v>
      </c>
    </row>
    <row r="110" customFormat="false" ht="15" hidden="false" customHeight="false" outlineLevel="0" collapsed="false">
      <c r="A110" s="3" t="n">
        <v>30000542</v>
      </c>
      <c r="B110" s="3" t="s">
        <v>296</v>
      </c>
      <c r="C110" s="3" t="s">
        <v>128</v>
      </c>
      <c r="D110" s="3" t="s">
        <v>187</v>
      </c>
      <c r="E110" s="3" t="s">
        <v>214</v>
      </c>
      <c r="F110" s="23" t="n">
        <v>616</v>
      </c>
      <c r="G110" s="23" t="n">
        <v>462</v>
      </c>
      <c r="H110" s="23" t="n">
        <v>61.6</v>
      </c>
      <c r="I110" s="23" t="n">
        <v>84.7</v>
      </c>
      <c r="J110" s="23" t="n">
        <v>716.1</v>
      </c>
      <c r="K110" s="23" t="n">
        <v>577.5</v>
      </c>
      <c r="L110" s="23" t="n">
        <v>231</v>
      </c>
      <c r="M110" s="23" t="n">
        <v>570.9</v>
      </c>
      <c r="N110" s="23" t="n">
        <v>650.8</v>
      </c>
      <c r="O110" s="23" t="n">
        <v>625.355</v>
      </c>
      <c r="P110" s="23" t="n">
        <v>625.355</v>
      </c>
      <c r="Q110" s="23" t="n">
        <v>569.12154</v>
      </c>
      <c r="R110" s="23" t="n">
        <v>624.147983932189</v>
      </c>
      <c r="S110" s="23" t="n">
        <v>451.177590491839</v>
      </c>
    </row>
    <row r="111" customFormat="false" ht="15" hidden="false" customHeight="false" outlineLevel="0" collapsed="false">
      <c r="A111" s="3" t="n">
        <v>30002186</v>
      </c>
      <c r="B111" s="3" t="s">
        <v>297</v>
      </c>
      <c r="C111" s="3" t="s">
        <v>129</v>
      </c>
      <c r="D111" s="3" t="s">
        <v>187</v>
      </c>
      <c r="E111" s="3" t="s">
        <v>188</v>
      </c>
      <c r="F111" s="23" t="n">
        <v>0</v>
      </c>
      <c r="G111" s="23" t="n">
        <v>6.9</v>
      </c>
      <c r="H111" s="23" t="n">
        <v>0</v>
      </c>
      <c r="I111" s="23" t="n">
        <v>17.25</v>
      </c>
      <c r="J111" s="23" t="n">
        <v>17.25</v>
      </c>
      <c r="K111" s="23" t="n">
        <v>1825.05</v>
      </c>
      <c r="L111" s="23" t="n">
        <v>3446.55</v>
      </c>
      <c r="M111" s="23" t="n">
        <v>1200</v>
      </c>
      <c r="N111" s="23" t="n">
        <v>7000</v>
      </c>
      <c r="O111" s="23" t="n">
        <v>7000</v>
      </c>
      <c r="P111" s="23" t="n">
        <v>0</v>
      </c>
      <c r="Q111" s="23" t="n">
        <v>0</v>
      </c>
      <c r="R111" s="23" t="n">
        <v>0</v>
      </c>
      <c r="S111" s="23" t="n">
        <v>391.755250473403</v>
      </c>
    </row>
    <row r="112" customFormat="false" ht="15" hidden="false" customHeight="false" outlineLevel="0" collapsed="false">
      <c r="A112" s="3" t="n">
        <v>30002284</v>
      </c>
      <c r="B112" s="3" t="s">
        <v>298</v>
      </c>
      <c r="C112" s="3" t="s">
        <v>130</v>
      </c>
      <c r="D112" s="3" t="s">
        <v>187</v>
      </c>
      <c r="E112" s="3" t="s">
        <v>205</v>
      </c>
      <c r="F112" s="23" t="n">
        <v>785.4</v>
      </c>
      <c r="G112" s="23" t="n">
        <v>100.8</v>
      </c>
      <c r="H112" s="23" t="n">
        <v>25.2</v>
      </c>
      <c r="I112" s="23" t="n">
        <v>126</v>
      </c>
      <c r="J112" s="23" t="n">
        <v>319.2</v>
      </c>
      <c r="K112" s="23" t="n">
        <v>315</v>
      </c>
      <c r="L112" s="23" t="n">
        <v>54.6</v>
      </c>
      <c r="M112" s="23" t="n">
        <v>404.2</v>
      </c>
      <c r="N112" s="23" t="n">
        <v>500</v>
      </c>
      <c r="O112" s="23" t="n">
        <v>400</v>
      </c>
      <c r="P112" s="23" t="n">
        <v>400</v>
      </c>
      <c r="Q112" s="23" t="n">
        <v>228.3</v>
      </c>
      <c r="R112" s="23" t="n">
        <v>226.495</v>
      </c>
      <c r="S112" s="23" t="n">
        <v>237.46625</v>
      </c>
    </row>
    <row r="113" customFormat="false" ht="15" hidden="false" customHeight="false" outlineLevel="0" collapsed="false">
      <c r="A113" s="3" t="n">
        <v>30001412</v>
      </c>
      <c r="B113" s="3" t="s">
        <v>299</v>
      </c>
      <c r="C113" s="3" t="s">
        <v>129</v>
      </c>
      <c r="D113" s="3" t="s">
        <v>187</v>
      </c>
      <c r="E113" s="3" t="s">
        <v>188</v>
      </c>
      <c r="F113" s="23" t="n">
        <v>75.6</v>
      </c>
      <c r="G113" s="23" t="n">
        <v>198</v>
      </c>
      <c r="H113" s="23" t="n">
        <v>0</v>
      </c>
      <c r="I113" s="23" t="n">
        <v>3.6</v>
      </c>
      <c r="J113" s="23" t="n">
        <v>0</v>
      </c>
      <c r="K113" s="23" t="n">
        <v>0</v>
      </c>
      <c r="L113" s="23" t="n">
        <v>93.6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101.348582240631</v>
      </c>
      <c r="S113" s="23" t="n">
        <v>160.62120669428</v>
      </c>
    </row>
    <row r="114" customFormat="false" ht="15" hidden="false" customHeight="false" outlineLevel="0" collapsed="false">
      <c r="A114" s="3" t="n">
        <v>30001411</v>
      </c>
      <c r="B114" s="3" t="s">
        <v>300</v>
      </c>
      <c r="C114" s="3" t="s">
        <v>129</v>
      </c>
      <c r="D114" s="3" t="s">
        <v>187</v>
      </c>
      <c r="E114" s="3" t="s">
        <v>188</v>
      </c>
      <c r="F114" s="23" t="n">
        <v>0</v>
      </c>
      <c r="G114" s="23" t="n">
        <v>90</v>
      </c>
      <c r="H114" s="23" t="n">
        <v>0</v>
      </c>
      <c r="I114" s="23" t="n">
        <v>0</v>
      </c>
      <c r="J114" s="23" t="n">
        <v>0</v>
      </c>
      <c r="K114" s="23" t="n">
        <v>3.6</v>
      </c>
      <c r="L114" s="23" t="n">
        <v>57.6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965.443564002189</v>
      </c>
      <c r="S114" s="23" t="n">
        <v>1681.26951266995</v>
      </c>
    </row>
    <row r="115" customFormat="false" ht="15" hidden="false" customHeight="false" outlineLevel="0" collapsed="false">
      <c r="A115" s="3" t="n">
        <v>30002187</v>
      </c>
      <c r="B115" s="3" t="s">
        <v>301</v>
      </c>
      <c r="C115" s="3" t="s">
        <v>129</v>
      </c>
      <c r="D115" s="3" t="s">
        <v>187</v>
      </c>
      <c r="E115" s="3" t="s">
        <v>188</v>
      </c>
      <c r="F115" s="23" t="n">
        <v>13.8</v>
      </c>
      <c r="G115" s="23" t="n">
        <v>6.9</v>
      </c>
      <c r="H115" s="23" t="n">
        <v>0</v>
      </c>
      <c r="I115" s="23" t="n">
        <v>17.25</v>
      </c>
      <c r="J115" s="23" t="n">
        <v>17.25</v>
      </c>
      <c r="K115" s="23" t="n">
        <v>0</v>
      </c>
      <c r="L115" s="23" t="n">
        <v>0</v>
      </c>
      <c r="M115" s="23" t="n">
        <v>1200</v>
      </c>
      <c r="N115" s="23" t="n">
        <v>1000</v>
      </c>
      <c r="O115" s="23" t="n">
        <v>1000</v>
      </c>
      <c r="P115" s="23" t="n">
        <v>0</v>
      </c>
      <c r="Q115" s="23" t="n">
        <v>0</v>
      </c>
      <c r="R115" s="23" t="n">
        <v>0</v>
      </c>
      <c r="S115" s="23" t="n">
        <v>314.115866016652</v>
      </c>
    </row>
    <row r="116" customFormat="false" ht="15" hidden="false" customHeight="false" outlineLevel="0" collapsed="false">
      <c r="A116" s="3" t="n">
        <v>30001408</v>
      </c>
      <c r="B116" s="3" t="s">
        <v>302</v>
      </c>
      <c r="C116" s="3" t="s">
        <v>128</v>
      </c>
      <c r="D116" s="3" t="s">
        <v>187</v>
      </c>
      <c r="E116" s="3" t="s">
        <v>214</v>
      </c>
      <c r="F116" s="23" t="n">
        <v>0</v>
      </c>
      <c r="G116" s="23" t="n">
        <v>17</v>
      </c>
      <c r="H116" s="23" t="n">
        <v>17</v>
      </c>
      <c r="I116" s="23" t="n">
        <v>17</v>
      </c>
      <c r="J116" s="23" t="n">
        <v>0</v>
      </c>
      <c r="K116" s="23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</row>
    <row r="117" customFormat="false" ht="15" hidden="false" customHeight="false" outlineLevel="0" collapsed="false">
      <c r="A117" s="3" t="n">
        <v>30001415</v>
      </c>
      <c r="B117" s="3" t="s">
        <v>303</v>
      </c>
      <c r="C117" s="3" t="s">
        <v>129</v>
      </c>
      <c r="D117" s="3" t="s">
        <v>187</v>
      </c>
      <c r="E117" s="3" t="s">
        <v>205</v>
      </c>
      <c r="F117" s="23" t="n">
        <v>0</v>
      </c>
      <c r="G117" s="23" t="n">
        <v>18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</row>
    <row r="118" customFormat="false" ht="15" hidden="false" customHeight="false" outlineLevel="0" collapsed="false">
      <c r="A118" s="3" t="n">
        <v>30000394</v>
      </c>
      <c r="B118" s="3" t="s">
        <v>304</v>
      </c>
      <c r="C118" s="3" t="s">
        <v>128</v>
      </c>
      <c r="D118" s="3" t="s">
        <v>187</v>
      </c>
      <c r="E118" s="3" t="s">
        <v>205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</row>
    <row r="119" customFormat="false" ht="15" hidden="false" customHeight="false" outlineLevel="0" collapsed="false">
      <c r="A119" s="3" t="n">
        <v>30000259</v>
      </c>
      <c r="B119" s="3" t="s">
        <v>305</v>
      </c>
      <c r="C119" s="3" t="s">
        <v>126</v>
      </c>
      <c r="D119" s="3" t="s">
        <v>187</v>
      </c>
      <c r="E119" s="3" t="s">
        <v>188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</row>
    <row r="120" customFormat="false" ht="15" hidden="false" customHeight="false" outlineLevel="0" collapsed="false">
      <c r="A120" s="3" t="n">
        <v>30000311</v>
      </c>
      <c r="B120" s="3" t="s">
        <v>306</v>
      </c>
      <c r="C120" s="3" t="s">
        <v>129</v>
      </c>
      <c r="D120" s="3" t="s">
        <v>187</v>
      </c>
      <c r="E120" s="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</row>
    <row r="121" customFormat="false" ht="15" hidden="false" customHeight="false" outlineLevel="0" collapsed="false">
      <c r="A121" s="3" t="n">
        <v>30000358</v>
      </c>
      <c r="B121" s="3" t="s">
        <v>307</v>
      </c>
      <c r="C121" s="3" t="s">
        <v>128</v>
      </c>
      <c r="D121" s="3" t="s">
        <v>187</v>
      </c>
      <c r="E121" s="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</row>
    <row r="122" customFormat="false" ht="15" hidden="false" customHeight="false" outlineLevel="0" collapsed="false">
      <c r="A122" s="3" t="n">
        <v>30001150</v>
      </c>
      <c r="B122" s="3" t="s">
        <v>308</v>
      </c>
      <c r="C122" s="3" t="s">
        <v>128</v>
      </c>
      <c r="D122" s="3" t="s">
        <v>187</v>
      </c>
      <c r="E122" s="3" t="s">
        <v>205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</row>
    <row r="123" customFormat="false" ht="15" hidden="false" customHeight="false" outlineLevel="0" collapsed="false">
      <c r="A123" s="3" t="n">
        <v>30001118</v>
      </c>
      <c r="B123" s="3" t="s">
        <v>309</v>
      </c>
      <c r="C123" s="3" t="s">
        <v>126</v>
      </c>
      <c r="D123" s="3" t="s">
        <v>187</v>
      </c>
      <c r="E123" s="3" t="s">
        <v>188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</row>
    <row r="124" customFormat="false" ht="15" hidden="false" customHeight="false" outlineLevel="0" collapsed="false">
      <c r="A124" s="3" t="n">
        <v>30001276</v>
      </c>
      <c r="B124" s="3" t="s">
        <v>310</v>
      </c>
      <c r="C124" s="3" t="s">
        <v>129</v>
      </c>
      <c r="D124" s="3" t="s">
        <v>187</v>
      </c>
      <c r="E124" s="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</row>
    <row r="125" customFormat="false" ht="15" hidden="false" customHeight="false" outlineLevel="0" collapsed="false">
      <c r="A125" s="3" t="n">
        <v>30000395</v>
      </c>
      <c r="B125" s="3" t="s">
        <v>311</v>
      </c>
      <c r="C125" s="3" t="s">
        <v>128</v>
      </c>
      <c r="D125" s="3" t="s">
        <v>187</v>
      </c>
      <c r="E125" s="3" t="s">
        <v>205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16</v>
      </c>
      <c r="M125" s="23" t="n">
        <v>0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</row>
    <row r="126" customFormat="false" ht="15" hidden="false" customHeight="false" outlineLevel="0" collapsed="false">
      <c r="A126" s="3" t="n">
        <v>30000420</v>
      </c>
      <c r="B126" s="3" t="s">
        <v>312</v>
      </c>
      <c r="C126" s="3" t="s">
        <v>129</v>
      </c>
      <c r="D126" s="3" t="s">
        <v>187</v>
      </c>
      <c r="E126" s="3" t="s">
        <v>214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</row>
    <row r="127" customFormat="false" ht="15" hidden="false" customHeight="false" outlineLevel="0" collapsed="false">
      <c r="A127" s="3" t="n">
        <v>30000390</v>
      </c>
      <c r="B127" s="3" t="s">
        <v>313</v>
      </c>
      <c r="C127" s="3" t="s">
        <v>129</v>
      </c>
      <c r="D127" s="3" t="s">
        <v>187</v>
      </c>
      <c r="E127" s="3" t="s">
        <v>214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</row>
    <row r="128" customFormat="false" ht="15" hidden="false" customHeight="false" outlineLevel="0" collapsed="false">
      <c r="A128" s="3" t="n">
        <v>30000477</v>
      </c>
      <c r="B128" s="3" t="s">
        <v>314</v>
      </c>
      <c r="C128" s="3" t="s">
        <v>129</v>
      </c>
      <c r="D128" s="3" t="s">
        <v>187</v>
      </c>
      <c r="E128" s="3" t="s">
        <v>205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3" t="n">
        <v>0</v>
      </c>
      <c r="R128" s="23" t="n">
        <v>0</v>
      </c>
      <c r="S128" s="23" t="n">
        <v>0</v>
      </c>
    </row>
    <row r="129" customFormat="false" ht="15" hidden="false" customHeight="false" outlineLevel="0" collapsed="false">
      <c r="A129" s="3" t="n">
        <v>30000515</v>
      </c>
      <c r="B129" s="3" t="s">
        <v>315</v>
      </c>
      <c r="C129" s="3" t="s">
        <v>129</v>
      </c>
      <c r="D129" s="3" t="s">
        <v>187</v>
      </c>
      <c r="E129" s="3" t="s">
        <v>188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3" t="n">
        <v>0</v>
      </c>
      <c r="R129" s="23" t="n">
        <v>0</v>
      </c>
      <c r="S129" s="23" t="n">
        <v>0</v>
      </c>
    </row>
    <row r="130" customFormat="false" ht="15" hidden="false" customHeight="false" outlineLevel="0" collapsed="false">
      <c r="A130" s="3" t="n">
        <v>30001973</v>
      </c>
      <c r="B130" s="3" t="s">
        <v>316</v>
      </c>
      <c r="C130" s="3" t="s">
        <v>129</v>
      </c>
      <c r="D130" s="3" t="s">
        <v>187</v>
      </c>
      <c r="E130" s="3" t="s">
        <v>214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24</v>
      </c>
      <c r="N130" s="23" t="n">
        <v>90</v>
      </c>
      <c r="O130" s="23" t="n">
        <v>60</v>
      </c>
      <c r="P130" s="23" t="n">
        <v>60</v>
      </c>
      <c r="Q130" s="23" t="n">
        <v>0</v>
      </c>
      <c r="R130" s="23" t="n">
        <v>7.79166666666667</v>
      </c>
      <c r="S130" s="23" t="n">
        <v>13.6354166666667</v>
      </c>
    </row>
    <row r="131" customFormat="false" ht="15" hidden="false" customHeight="false" outlineLevel="0" collapsed="false">
      <c r="A131" s="3" t="n">
        <v>30001762</v>
      </c>
      <c r="B131" s="3" t="s">
        <v>317</v>
      </c>
      <c r="C131" s="3" t="s">
        <v>126</v>
      </c>
      <c r="D131" s="3" t="s">
        <v>187</v>
      </c>
      <c r="E131" s="3" t="s">
        <v>188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34.5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</row>
    <row r="132" customFormat="false" ht="15" hidden="false" customHeight="false" outlineLevel="0" collapsed="false">
      <c r="A132" s="3" t="n">
        <v>30001485</v>
      </c>
      <c r="B132" s="3" t="s">
        <v>318</v>
      </c>
      <c r="C132" s="3" t="s">
        <v>129</v>
      </c>
      <c r="D132" s="3" t="s">
        <v>187</v>
      </c>
      <c r="E132" s="3" t="s">
        <v>205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</row>
    <row r="133" customFormat="false" ht="15" hidden="false" customHeight="false" outlineLevel="0" collapsed="false">
      <c r="A133" s="3" t="n">
        <v>30001414</v>
      </c>
      <c r="B133" s="3" t="s">
        <v>319</v>
      </c>
      <c r="C133" s="3" t="s">
        <v>129</v>
      </c>
      <c r="D133" s="3" t="s">
        <v>187</v>
      </c>
      <c r="E133" s="3" t="s">
        <v>205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</row>
    <row r="134" customFormat="false" ht="15" hidden="false" customHeight="false" outlineLevel="0" collapsed="false">
      <c r="A134" s="3" t="n">
        <v>30001676</v>
      </c>
      <c r="B134" s="3" t="s">
        <v>320</v>
      </c>
      <c r="C134" s="3" t="s">
        <v>124</v>
      </c>
      <c r="D134" s="3" t="s">
        <v>187</v>
      </c>
      <c r="E134" s="3" t="s">
        <v>205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</row>
    <row r="135" customFormat="false" ht="15" hidden="false" customHeight="false" outlineLevel="0" collapsed="false">
      <c r="A135" s="3" t="n">
        <v>30001775</v>
      </c>
      <c r="B135" s="3" t="s">
        <v>321</v>
      </c>
      <c r="C135" s="3" t="s">
        <v>126</v>
      </c>
      <c r="D135" s="3" t="s">
        <v>187</v>
      </c>
      <c r="E135" s="3" t="s">
        <v>214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</row>
    <row r="136" customFormat="false" ht="15" hidden="false" customHeight="false" outlineLevel="0" collapsed="false">
      <c r="A136" s="3" t="n">
        <v>30001763</v>
      </c>
      <c r="B136" s="3" t="s">
        <v>322</v>
      </c>
      <c r="C136" s="3" t="s">
        <v>126</v>
      </c>
      <c r="D136" s="3" t="s">
        <v>187</v>
      </c>
      <c r="E136" s="3" t="s">
        <v>188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34.5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0</v>
      </c>
      <c r="R136" s="23" t="n">
        <v>0</v>
      </c>
      <c r="S136" s="23" t="n">
        <v>0</v>
      </c>
    </row>
    <row r="137" customFormat="false" ht="15" hidden="false" customHeight="false" outlineLevel="0" collapsed="false">
      <c r="A137" s="3" t="n">
        <v>30002175</v>
      </c>
      <c r="B137" s="3" t="s">
        <v>323</v>
      </c>
      <c r="C137" s="3" t="s">
        <v>126</v>
      </c>
      <c r="D137" s="3" t="s">
        <v>187</v>
      </c>
      <c r="E137" s="3" t="s">
        <v>188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34.5</v>
      </c>
      <c r="M137" s="23" t="n">
        <v>0</v>
      </c>
      <c r="N137" s="23" t="n">
        <v>0</v>
      </c>
      <c r="O137" s="23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</row>
  </sheetData>
  <autoFilter ref="A4:S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1" min="10" style="0" width="6"/>
    <col collapsed="false" customWidth="true" hidden="false" outlineLevel="0" max="12" min="12" style="0" width="9"/>
    <col collapsed="false" customWidth="true" hidden="false" outlineLevel="0" max="13" min="13" style="0" width="60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3"/>
    <col collapsed="false" customWidth="true" hidden="false" outlineLevel="0" max="23" min="20" style="0" width="13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3" t="s">
        <v>325</v>
      </c>
    </row>
    <row r="4" customFormat="false" ht="42" hidden="false" customHeight="true" outlineLevel="0" collapsed="false">
      <c r="A4" s="14" t="s">
        <v>133</v>
      </c>
      <c r="B4" s="14" t="s">
        <v>134</v>
      </c>
      <c r="C4" s="14" t="s">
        <v>121</v>
      </c>
      <c r="D4" s="14" t="s">
        <v>326</v>
      </c>
      <c r="E4" s="14" t="s">
        <v>327</v>
      </c>
      <c r="F4" s="14" t="s">
        <v>328</v>
      </c>
      <c r="G4" s="14" t="s">
        <v>20</v>
      </c>
      <c r="H4" s="14" t="s">
        <v>329</v>
      </c>
      <c r="I4" s="14" t="s">
        <v>330</v>
      </c>
      <c r="J4" s="14" t="s">
        <v>331</v>
      </c>
      <c r="K4" s="14" t="s">
        <v>21</v>
      </c>
      <c r="L4" s="14" t="s">
        <v>94</v>
      </c>
      <c r="M4" s="14" t="s">
        <v>95</v>
      </c>
      <c r="N4" s="14" t="s">
        <v>332</v>
      </c>
      <c r="O4" s="14" t="s">
        <v>333</v>
      </c>
      <c r="P4" s="14" t="s">
        <v>334</v>
      </c>
      <c r="Q4" s="14" t="s">
        <v>335</v>
      </c>
      <c r="R4" s="14" t="s">
        <v>336</v>
      </c>
      <c r="T4" s="2" t="s">
        <v>160</v>
      </c>
    </row>
    <row r="5" customFormat="false" ht="15" hidden="false" customHeight="false" outlineLevel="0" collapsed="false">
      <c r="A5" s="18" t="n">
        <f aca="false">Datos_Semanales!A5</f>
        <v>30000522</v>
      </c>
      <c r="B5" s="18" t="str">
        <f aca="false">Datos_Semanales!B5</f>
        <v>LECHE BCA ENTERA LONCO BASE 12X1LT</v>
      </c>
      <c r="C5" s="18" t="str">
        <f aca="false">Datos_Semanales!C5</f>
        <v>LECHES LIQUIDAS</v>
      </c>
      <c r="D5" s="23" t="n">
        <f aca="false">SUM(Datos_Semanales!F5:K5)</f>
        <v>2254380</v>
      </c>
      <c r="E5" s="23" t="n">
        <f aca="false">AVERAGE(Datos_Semanales!F5:K5)</f>
        <v>375730</v>
      </c>
      <c r="F5" s="23" t="n">
        <f aca="false">STDEV(Datos_Semanales!F5:K5)</f>
        <v>91205.669639557</v>
      </c>
      <c r="G5" s="27" t="n">
        <f aca="false">IF(E5&gt;0,F5/E5,"")</f>
        <v>0.242742580149461</v>
      </c>
      <c r="H5" s="24" t="n">
        <f aca="false">IF(SUM($D$5:$D$137)&gt;0,D5/SUM($D$5:$D$137),0)</f>
        <v>0.204300191980357</v>
      </c>
      <c r="I5" s="24" t="n">
        <f aca="false">SUMIF($D$5:$D$137,"&gt;="&amp;D5)/SUM($D$5:$D$137)</f>
        <v>0.204300191980357</v>
      </c>
      <c r="J5" s="3" t="str">
        <f aca="false">IF(D5&lt;=0,"C",IF(I5&lt;=Parametros!$B$4,"A",IF(I5&lt;=Parametros!$B$5,"B","C")))</f>
        <v>A</v>
      </c>
      <c r="K5" s="3" t="str">
        <f aca="false">IF(E5&lt;=0,"Z",IF(G5&lt;=Parametros!$B$6,"X",IF(G5&lt;=Parametros!$B$7,"Y","Z")))</f>
        <v>X</v>
      </c>
      <c r="L5" s="3" t="str">
        <f aca="false">J5&amp;K5</f>
        <v>AX</v>
      </c>
      <c r="M5" s="3" t="str">
        <f aca="false">INDEX(Parametros!$B$23:$B$31,MATCH(L5,Parametros!$A$23:$A$31,0))</f>
        <v>Forecast estadístico casi automático. Ajustes mínimos. SS bajo porque la demanda es estable.</v>
      </c>
      <c r="N5" s="3" t="str">
        <f aca="false">INDEX(Parametros!$C$23:$C$31,MATCH(L5,Parametros!$A$23:$A$31,0))</f>
        <v>Mensual</v>
      </c>
      <c r="O5" s="23" t="n">
        <f aca="false">SUM(Datos_Semanales!M5:R5)</f>
        <v>2075776.11150031</v>
      </c>
      <c r="P5" s="24" t="n">
        <f aca="false">IF(D5&gt;0,SUMPRODUCT(ABS(Datos_Semanales!F5:K5-Datos_Semanales!M5:R5))/D5,"")</f>
        <v>0.222087452647872</v>
      </c>
      <c r="Q5" s="24" t="n">
        <f aca="false">IF(D5&gt;0,O5/D5-1,"")</f>
        <v>-0.0792252807865973</v>
      </c>
      <c r="R5" s="23" t="n">
        <f aca="false">SQRT(SUMXMY2(Datos_Semanales!F5:K5,Datos_Semanales!M5:R5)/COUNT(Datos_Semanales!F5:K5))</f>
        <v>99257.3742298119</v>
      </c>
      <c r="T5" s="2" t="s">
        <v>337</v>
      </c>
      <c r="U5" s="2" t="s">
        <v>338</v>
      </c>
      <c r="V5" s="2" t="s">
        <v>339</v>
      </c>
      <c r="W5" s="2" t="s">
        <v>340</v>
      </c>
    </row>
    <row r="6" customFormat="false" ht="15" hidden="false" customHeight="false" outlineLevel="0" collapsed="false">
      <c r="A6" s="18" t="n">
        <f aca="false">Datos_Semanales!A6</f>
        <v>30000325</v>
      </c>
      <c r="B6" s="18" t="str">
        <f aca="false">Datos_Semanales!B6</f>
        <v>LECHE LONCO S/LAC NAT ENT 12X1LT</v>
      </c>
      <c r="C6" s="18" t="str">
        <f aca="false">Datos_Semanales!C6</f>
        <v>LECHES LIQUIDAS</v>
      </c>
      <c r="D6" s="23" t="n">
        <f aca="false">SUM(Datos_Semanales!F6:K6)</f>
        <v>733236</v>
      </c>
      <c r="E6" s="23" t="n">
        <f aca="false">AVERAGE(Datos_Semanales!F6:K6)</f>
        <v>122206</v>
      </c>
      <c r="F6" s="23" t="n">
        <f aca="false">STDEV(Datos_Semanales!F6:K6)</f>
        <v>20103.6274935644</v>
      </c>
      <c r="G6" s="27" t="n">
        <f aca="false">IF(E6&gt;0,F6/E6,"")</f>
        <v>0.164506059387955</v>
      </c>
      <c r="H6" s="24" t="n">
        <f aca="false">IF(SUM($D$5:$D$137)&gt;0,D6/SUM($D$5:$D$137),0)</f>
        <v>0.0664485382086911</v>
      </c>
      <c r="I6" s="24" t="n">
        <f aca="false">SUMIF($D$5:$D$137,"&gt;="&amp;D6)/SUM($D$5:$D$137)</f>
        <v>0.270748730189048</v>
      </c>
      <c r="J6" s="3" t="str">
        <f aca="false">IF(D6&lt;=0,"C",IF(I6&lt;=Parametros!$B$4,"A",IF(I6&lt;=Parametros!$B$5,"B","C")))</f>
        <v>A</v>
      </c>
      <c r="K6" s="3" t="str">
        <f aca="false">IF(E6&lt;=0,"Z",IF(G6&lt;=Parametros!$B$6,"X",IF(G6&lt;=Parametros!$B$7,"Y","Z")))</f>
        <v>X</v>
      </c>
      <c r="L6" s="3" t="str">
        <f aca="false">J6&amp;K6</f>
        <v>AX</v>
      </c>
      <c r="M6" s="3" t="str">
        <f aca="false">INDEX(Parametros!$B$23:$B$31,MATCH(L6,Parametros!$A$23:$A$31,0))</f>
        <v>Forecast estadístico casi automático. Ajustes mínimos. SS bajo porque la demanda es estable.</v>
      </c>
      <c r="N6" s="3" t="str">
        <f aca="false">INDEX(Parametros!$C$23:$C$31,MATCH(L6,Parametros!$A$23:$A$31,0))</f>
        <v>Mensual</v>
      </c>
      <c r="O6" s="23" t="n">
        <f aca="false">SUM(Datos_Semanales!M6:R6)</f>
        <v>773654.176497465</v>
      </c>
      <c r="P6" s="24" t="n">
        <f aca="false">IF(D6&gt;0,SUMPRODUCT(ABS(Datos_Semanales!F6:K6-Datos_Semanales!M6:R6))/D6,"")</f>
        <v>0.167384411700277</v>
      </c>
      <c r="Q6" s="24" t="n">
        <f aca="false">IF(D6&gt;0,O6/D6-1,"")</f>
        <v>0.055123011550803</v>
      </c>
      <c r="R6" s="23" t="n">
        <f aca="false">SQRT(SUMXMY2(Datos_Semanales!F6:K6,Datos_Semanales!M6:R6)/COUNT(Datos_Semanales!F6:K6))</f>
        <v>26676.9874922305</v>
      </c>
      <c r="T6" s="2" t="s">
        <v>341</v>
      </c>
      <c r="U6" s="3" t="n">
        <f aca="false">COUNTIF($L$5:$L$137,"AX")</f>
        <v>18</v>
      </c>
      <c r="V6" s="3" t="n">
        <f aca="false">COUNTIF($L$5:$L$137,"AY")</f>
        <v>5</v>
      </c>
      <c r="W6" s="3" t="n">
        <f aca="false">COUNTIF($L$5:$L$137,"AZ")</f>
        <v>1</v>
      </c>
      <c r="X6" s="2" t="s">
        <v>342</v>
      </c>
    </row>
    <row r="7" customFormat="false" ht="15" hidden="false" customHeight="false" outlineLevel="0" collapsed="false">
      <c r="A7" s="18" t="n">
        <f aca="false">Datos_Semanales!A7</f>
        <v>30000326</v>
      </c>
      <c r="B7" s="18" t="str">
        <f aca="false">Datos_Semanales!B7</f>
        <v>LECHE LONCO SEMI S/LAC 12X1LT</v>
      </c>
      <c r="C7" s="18" t="str">
        <f aca="false">Datos_Semanales!C7</f>
        <v>LECHES LIQUIDAS</v>
      </c>
      <c r="D7" s="23" t="n">
        <f aca="false">SUM(Datos_Semanales!F7:K7)</f>
        <v>657036</v>
      </c>
      <c r="E7" s="23" t="n">
        <f aca="false">AVERAGE(Datos_Semanales!F7:K7)</f>
        <v>109506</v>
      </c>
      <c r="F7" s="23" t="n">
        <f aca="false">STDEV(Datos_Semanales!F7:K7)</f>
        <v>31862.6089327287</v>
      </c>
      <c r="G7" s="27" t="n">
        <f aca="false">IF(E7&gt;0,F7/E7,"")</f>
        <v>0.29096678659369</v>
      </c>
      <c r="H7" s="24" t="n">
        <f aca="false">IF(SUM($D$5:$D$137)&gt;0,D7/SUM($D$5:$D$137),0)</f>
        <v>0.0595430144598541</v>
      </c>
      <c r="I7" s="24" t="n">
        <f aca="false">SUMIF($D$5:$D$137,"&gt;="&amp;D7)/SUM($D$5:$D$137)</f>
        <v>0.330291744648902</v>
      </c>
      <c r="J7" s="3" t="str">
        <f aca="false">IF(D7&lt;=0,"C",IF(I7&lt;=Parametros!$B$4,"A",IF(I7&lt;=Parametros!$B$5,"B","C")))</f>
        <v>A</v>
      </c>
      <c r="K7" s="3" t="str">
        <f aca="false">IF(E7&lt;=0,"Z",IF(G7&lt;=Parametros!$B$6,"X",IF(G7&lt;=Parametros!$B$7,"Y","Z")))</f>
        <v>X</v>
      </c>
      <c r="L7" s="3" t="str">
        <f aca="false">J7&amp;K7</f>
        <v>AX</v>
      </c>
      <c r="M7" s="3" t="str">
        <f aca="false">INDEX(Parametros!$B$23:$B$31,MATCH(L7,Parametros!$A$23:$A$31,0))</f>
        <v>Forecast estadístico casi automático. Ajustes mínimos. SS bajo porque la demanda es estable.</v>
      </c>
      <c r="N7" s="3" t="str">
        <f aca="false">INDEX(Parametros!$C$23:$C$31,MATCH(L7,Parametros!$A$23:$A$31,0))</f>
        <v>Mensual</v>
      </c>
      <c r="O7" s="23" t="n">
        <f aca="false">SUM(Datos_Semanales!M7:R7)</f>
        <v>735307.369500659</v>
      </c>
      <c r="P7" s="24" t="n">
        <f aca="false">IF(D7&gt;0,SUMPRODUCT(ABS(Datos_Semanales!F7:K7-Datos_Semanales!M7:R7))/D7,"")</f>
        <v>0.148189124341222</v>
      </c>
      <c r="Q7" s="24" t="n">
        <f aca="false">IF(D7&gt;0,O7/D7-1,"")</f>
        <v>0.119127977006829</v>
      </c>
      <c r="R7" s="23" t="n">
        <f aca="false">SQRT(SUMXMY2(Datos_Semanales!F7:K7,Datos_Semanales!M7:R7)/COUNT(Datos_Semanales!F7:K7))</f>
        <v>18291.1587730342</v>
      </c>
      <c r="T7" s="2" t="s">
        <v>343</v>
      </c>
      <c r="U7" s="3" t="n">
        <f aca="false">COUNTIF($L$5:$L$137,"BX")</f>
        <v>31</v>
      </c>
      <c r="V7" s="3" t="n">
        <f aca="false">COUNTIF($L$5:$L$137,"BY")</f>
        <v>7</v>
      </c>
      <c r="W7" s="3" t="n">
        <f aca="false">COUNTIF($L$5:$L$137,"BZ")</f>
        <v>0</v>
      </c>
    </row>
    <row r="8" customFormat="false" ht="15" hidden="false" customHeight="false" outlineLevel="0" collapsed="false">
      <c r="A8" s="18" t="n">
        <f aca="false">Datos_Semanales!A8</f>
        <v>30000353</v>
      </c>
      <c r="B8" s="18" t="str">
        <f aca="false">Datos_Semanales!B8</f>
        <v>LECHE LCO DESC S/LACTOSA 12X1LT</v>
      </c>
      <c r="C8" s="18" t="str">
        <f aca="false">Datos_Semanales!C8</f>
        <v>LECHES LIQUIDAS</v>
      </c>
      <c r="D8" s="23" t="n">
        <f aca="false">SUM(Datos_Semanales!F8:K8)</f>
        <v>556968</v>
      </c>
      <c r="E8" s="23" t="n">
        <f aca="false">AVERAGE(Datos_Semanales!F8:K8)</f>
        <v>92828</v>
      </c>
      <c r="F8" s="23" t="n">
        <f aca="false">STDEV(Datos_Semanales!F8:K8)</f>
        <v>42662.5249323103</v>
      </c>
      <c r="G8" s="27" t="n">
        <f aca="false">IF(E8&gt;0,F8/E8,"")</f>
        <v>0.459586815748592</v>
      </c>
      <c r="H8" s="24" t="n">
        <f aca="false">IF(SUM($D$5:$D$137)&gt;0,D8/SUM($D$5:$D$137),0)</f>
        <v>0.0504744849257514</v>
      </c>
      <c r="I8" s="24" t="n">
        <f aca="false">SUMIF($D$5:$D$137,"&gt;="&amp;D8)/SUM($D$5:$D$137)</f>
        <v>0.380766229574654</v>
      </c>
      <c r="J8" s="3" t="str">
        <f aca="false">IF(D8&lt;=0,"C",IF(I8&lt;=Parametros!$B$4,"A",IF(I8&lt;=Parametros!$B$5,"B","C")))</f>
        <v>A</v>
      </c>
      <c r="K8" s="3" t="str">
        <f aca="false">IF(E8&lt;=0,"Z",IF(G8&lt;=Parametros!$B$6,"X",IF(G8&lt;=Parametros!$B$7,"Y","Z")))</f>
        <v>X</v>
      </c>
      <c r="L8" s="3" t="str">
        <f aca="false">J8&amp;K8</f>
        <v>AX</v>
      </c>
      <c r="M8" s="3" t="str">
        <f aca="false">INDEX(Parametros!$B$23:$B$31,MATCH(L8,Parametros!$A$23:$A$31,0))</f>
        <v>Forecast estadístico casi automático. Ajustes mínimos. SS bajo porque la demanda es estable.</v>
      </c>
      <c r="N8" s="3" t="str">
        <f aca="false">INDEX(Parametros!$C$23:$C$31,MATCH(L8,Parametros!$A$23:$A$31,0))</f>
        <v>Mensual</v>
      </c>
      <c r="O8" s="23" t="n">
        <f aca="false">SUM(Datos_Semanales!M8:R8)</f>
        <v>571261.158237621</v>
      </c>
      <c r="P8" s="24" t="n">
        <f aca="false">IF(D8&gt;0,SUMPRODUCT(ABS(Datos_Semanales!F8:K8-Datos_Semanales!M8:R8))/D8,"")</f>
        <v>0.236658758424863</v>
      </c>
      <c r="Q8" s="24" t="n">
        <f aca="false">IF(D8&gt;0,O8/D8-1,"")</f>
        <v>0.0256624406386381</v>
      </c>
      <c r="R8" s="23" t="n">
        <f aca="false">SQRT(SUMXMY2(Datos_Semanales!F8:K8,Datos_Semanales!M8:R8)/COUNT(Datos_Semanales!F8:K8))</f>
        <v>24910.9459954102</v>
      </c>
      <c r="T8" s="2" t="s">
        <v>344</v>
      </c>
      <c r="U8" s="3" t="n">
        <f aca="false">COUNTIF($L$5:$L$137,"CX")</f>
        <v>25</v>
      </c>
      <c r="V8" s="3" t="n">
        <f aca="false">COUNTIF($L$5:$L$137,"CY")</f>
        <v>16</v>
      </c>
      <c r="W8" s="3" t="n">
        <f aca="false">COUNTIF($L$5:$L$137,"CZ")</f>
        <v>30</v>
      </c>
    </row>
    <row r="9" customFormat="false" ht="15" hidden="false" customHeight="false" outlineLevel="0" collapsed="false">
      <c r="A9" s="18" t="n">
        <f aca="false">Datos_Semanales!A9</f>
        <v>30000524</v>
      </c>
      <c r="B9" s="18" t="str">
        <f aca="false">Datos_Semanales!B9</f>
        <v>LECHE BLANCA DESC LCO BASE 12X1LT</v>
      </c>
      <c r="C9" s="18" t="str">
        <f aca="false">Datos_Semanales!C9</f>
        <v>LECHES LIQUIDAS</v>
      </c>
      <c r="D9" s="23" t="n">
        <f aca="false">SUM(Datos_Semanales!F9:K9)</f>
        <v>524352</v>
      </c>
      <c r="E9" s="23" t="n">
        <f aca="false">AVERAGE(Datos_Semanales!F9:K9)</f>
        <v>87392</v>
      </c>
      <c r="F9" s="23" t="n">
        <f aca="false">STDEV(Datos_Semanales!F9:K9)</f>
        <v>102650.51715408</v>
      </c>
      <c r="G9" s="27" t="n">
        <f aca="false">IF(E9&gt;0,F9/E9,"")</f>
        <v>1.17459855769498</v>
      </c>
      <c r="H9" s="24" t="n">
        <f aca="false">IF(SUM($D$5:$D$137)&gt;0,D9/SUM($D$5:$D$137),0)</f>
        <v>0.0475187032644382</v>
      </c>
      <c r="I9" s="24" t="n">
        <f aca="false">SUMIF($D$5:$D$137,"&gt;="&amp;D9)/SUM($D$5:$D$137)</f>
        <v>0.428284932839092</v>
      </c>
      <c r="J9" s="3" t="str">
        <f aca="false">IF(D9&lt;=0,"C",IF(I9&lt;=Parametros!$B$4,"A",IF(I9&lt;=Parametros!$B$5,"B","C")))</f>
        <v>A</v>
      </c>
      <c r="K9" s="3" t="str">
        <f aca="false">IF(E9&lt;=0,"Z",IF(G9&lt;=Parametros!$B$6,"X",IF(G9&lt;=Parametros!$B$7,"Y","Z")))</f>
        <v>Z</v>
      </c>
      <c r="L9" s="3" t="str">
        <f aca="false">J9&amp;K9</f>
        <v>AZ</v>
      </c>
      <c r="M9" s="3" t="str">
        <f aca="false">INDEX(Parametros!$B$23:$B$31,MATCH(L9,Parametros!$A$23:$A$31,0))</f>
        <v>FOCO MÁXIMO. Mucho volumen y errático: CPFR con cadenas, separar promociones de la base, SS alto.</v>
      </c>
      <c r="N9" s="3" t="str">
        <f aca="false">INDEX(Parametros!$C$23:$C$31,MATCH(L9,Parametros!$A$23:$A$31,0))</f>
        <v>2 veces por semana</v>
      </c>
      <c r="O9" s="23" t="n">
        <f aca="false">SUM(Datos_Semanales!M9:R9)</f>
        <v>312893.602113639</v>
      </c>
      <c r="P9" s="24" t="n">
        <f aca="false">IF(D9&gt;0,SUMPRODUCT(ABS(Datos_Semanales!F9:K9-Datos_Semanales!M9:R9))/D9,"")</f>
        <v>0.612366505922814</v>
      </c>
      <c r="Q9" s="24" t="n">
        <f aca="false">IF(D9&gt;0,O9/D9-1,"")</f>
        <v>-0.403275658119662</v>
      </c>
      <c r="R9" s="23" t="n">
        <f aca="false">SQRT(SUMXMY2(Datos_Semanales!F9:K9,Datos_Semanales!M9:R9)/COUNT(Datos_Semanales!F9:K9))</f>
        <v>99831.5639361556</v>
      </c>
    </row>
    <row r="10" customFormat="false" ht="15" hidden="false" customHeight="false" outlineLevel="0" collapsed="false">
      <c r="A10" s="18" t="n">
        <f aca="false">Datos_Semanales!A10</f>
        <v>30000255</v>
      </c>
      <c r="B10" s="18" t="str">
        <f aca="false">Datos_Semanales!B10</f>
        <v>NECTAR W DZNO SIXPACK 30X200ML</v>
      </c>
      <c r="C10" s="18" t="str">
        <f aca="false">Datos_Semanales!C10</f>
        <v>JUGOS Y NECTARES</v>
      </c>
      <c r="D10" s="23" t="n">
        <f aca="false">SUM(Datos_Semanales!F10:K10)</f>
        <v>480900</v>
      </c>
      <c r="E10" s="23" t="n">
        <f aca="false">AVERAGE(Datos_Semanales!F10:K10)</f>
        <v>80150</v>
      </c>
      <c r="F10" s="23" t="n">
        <f aca="false">STDEV(Datos_Semanales!F10:K10)</f>
        <v>42227.1390648242</v>
      </c>
      <c r="G10" s="27" t="n">
        <f aca="false">IF(E10&gt;0,F10/E10,"")</f>
        <v>0.526851391950395</v>
      </c>
      <c r="H10" s="24" t="n">
        <f aca="false">IF(SUM($D$5:$D$137)&gt;0,D10/SUM($D$5:$D$137),0)</f>
        <v>0.0435809235015187</v>
      </c>
      <c r="I10" s="24" t="n">
        <f aca="false">SUMIF($D$5:$D$137,"&gt;="&amp;D10)/SUM($D$5:$D$137)</f>
        <v>0.47186585634061</v>
      </c>
      <c r="J10" s="3" t="str">
        <f aca="false">IF(D10&lt;=0,"C",IF(I10&lt;=Parametros!$B$4,"A",IF(I10&lt;=Parametros!$B$5,"B","C")))</f>
        <v>A</v>
      </c>
      <c r="K10" s="3" t="str">
        <f aca="false">IF(E10&lt;=0,"Z",IF(G10&lt;=Parametros!$B$6,"X",IF(G10&lt;=Parametros!$B$7,"Y","Z")))</f>
        <v>Y</v>
      </c>
      <c r="L10" s="3" t="str">
        <f aca="false">J10&amp;K10</f>
        <v>AY</v>
      </c>
      <c r="M10" s="3" t="str">
        <f aca="false">INDEX(Parametros!$B$23:$B$31,MATCH(L10,Parametros!$A$23:$A$31,0))</f>
        <v>Alto volumen con variaciones: entender causas (promos, cadenas). Validar con KAM antes de ajustar.</v>
      </c>
      <c r="N10" s="3" t="str">
        <f aca="false">INDEX(Parametros!$C$23:$C$31,MATCH(L10,Parametros!$A$23:$A$31,0))</f>
        <v>Semanal</v>
      </c>
      <c r="O10" s="23" t="n">
        <f aca="false">SUM(Datos_Semanales!M10:R10)</f>
        <v>411027.203009746</v>
      </c>
      <c r="P10" s="24" t="n">
        <f aca="false">IF(D10&gt;0,SUMPRODUCT(ABS(Datos_Semanales!F10:K10-Datos_Semanales!M10:R10))/D10,"")</f>
        <v>0.2887248486385</v>
      </c>
      <c r="Q10" s="24" t="n">
        <f aca="false">IF(D10&gt;0,O10/D10-1,"")</f>
        <v>-0.145295897255676</v>
      </c>
      <c r="R10" s="23" t="n">
        <f aca="false">SQRT(SUMXMY2(Datos_Semanales!F10:K10,Datos_Semanales!M10:R10)/COUNT(Datos_Semanales!F10:K10))</f>
        <v>28327.615874693</v>
      </c>
      <c r="T10" s="2" t="s">
        <v>329</v>
      </c>
      <c r="U10" s="2" t="s">
        <v>338</v>
      </c>
      <c r="V10" s="2" t="s">
        <v>339</v>
      </c>
      <c r="W10" s="2" t="s">
        <v>340</v>
      </c>
    </row>
    <row r="11" customFormat="false" ht="15" hidden="false" customHeight="false" outlineLevel="0" collapsed="false">
      <c r="A11" s="18" t="n">
        <f aca="false">Datos_Semanales!A11</f>
        <v>30000523</v>
      </c>
      <c r="B11" s="18" t="str">
        <f aca="false">Datos_Semanales!B11</f>
        <v>LECHE BCA SEMI LONCO BASE 12X1LT</v>
      </c>
      <c r="C11" s="18" t="str">
        <f aca="false">Datos_Semanales!C11</f>
        <v>LECHES LIQUIDAS</v>
      </c>
      <c r="D11" s="23" t="n">
        <f aca="false">SUM(Datos_Semanales!F11:K11)</f>
        <v>423528</v>
      </c>
      <c r="E11" s="23" t="n">
        <f aca="false">AVERAGE(Datos_Semanales!F11:K11)</f>
        <v>70588</v>
      </c>
      <c r="F11" s="23" t="n">
        <f aca="false">STDEV(Datos_Semanales!F11:K11)</f>
        <v>26079.0571608714</v>
      </c>
      <c r="G11" s="27" t="n">
        <f aca="false">IF(E11&gt;0,F11/E11,"")</f>
        <v>0.36945454129415</v>
      </c>
      <c r="H11" s="24" t="n">
        <f aca="false">IF(SUM($D$5:$D$137)&gt;0,D11/SUM($D$5:$D$137),0)</f>
        <v>0.0383816622348746</v>
      </c>
      <c r="I11" s="24" t="n">
        <f aca="false">SUMIF($D$5:$D$137,"&gt;="&amp;D11)/SUM($D$5:$D$137)</f>
        <v>0.510247518575485</v>
      </c>
      <c r="J11" s="3" t="str">
        <f aca="false">IF(D11&lt;=0,"C",IF(I11&lt;=Parametros!$B$4,"A",IF(I11&lt;=Parametros!$B$5,"B","C")))</f>
        <v>A</v>
      </c>
      <c r="K11" s="3" t="str">
        <f aca="false">IF(E11&lt;=0,"Z",IF(G11&lt;=Parametros!$B$6,"X",IF(G11&lt;=Parametros!$B$7,"Y","Z")))</f>
        <v>X</v>
      </c>
      <c r="L11" s="3" t="str">
        <f aca="false">J11&amp;K11</f>
        <v>AX</v>
      </c>
      <c r="M11" s="3" t="str">
        <f aca="false">INDEX(Parametros!$B$23:$B$31,MATCH(L11,Parametros!$A$23:$A$31,0))</f>
        <v>Forecast estadístico casi automático. Ajustes mínimos. SS bajo porque la demanda es estable.</v>
      </c>
      <c r="N11" s="3" t="str">
        <f aca="false">INDEX(Parametros!$C$23:$C$31,MATCH(L11,Parametros!$A$23:$A$31,0))</f>
        <v>Mensual</v>
      </c>
      <c r="O11" s="23" t="n">
        <f aca="false">SUM(Datos_Semanales!M11:R11)</f>
        <v>653342.507120916</v>
      </c>
      <c r="P11" s="24" t="n">
        <f aca="false">IF(D11&gt;0,SUMPRODUCT(ABS(Datos_Semanales!F11:K11-Datos_Semanales!M11:R11))/D11,"")</f>
        <v>0.598891471451511</v>
      </c>
      <c r="Q11" s="24" t="n">
        <f aca="false">IF(D11&gt;0,O11/D11-1,"")</f>
        <v>0.542619394989034</v>
      </c>
      <c r="R11" s="23" t="n">
        <f aca="false">SQRT(SUMXMY2(Datos_Semanales!F11:K11,Datos_Semanales!M11:R11)/COUNT(Datos_Semanales!F11:K11))</f>
        <v>66361.7670214695</v>
      </c>
      <c r="T11" s="2" t="s">
        <v>341</v>
      </c>
      <c r="U11" s="24" t="n">
        <f aca="false">SUMIF($L$5:$L$137,"AX",$D$5:$D$137)/SUM($D$5:$D$137)</f>
        <v>0.601679190472882</v>
      </c>
      <c r="V11" s="24" t="n">
        <f aca="false">SUMIF($L$5:$L$137,"AY",$D$5:$D$137)/SUM($D$5:$D$137)</f>
        <v>0.145949060044712</v>
      </c>
      <c r="W11" s="24" t="n">
        <f aca="false">SUMIF($L$5:$L$137,"AZ",$D$5:$D$137)/SUM($D$5:$D$137)</f>
        <v>0.0475187032644382</v>
      </c>
      <c r="X11" s="2" t="s">
        <v>342</v>
      </c>
    </row>
    <row r="12" customFormat="false" ht="15" hidden="false" customHeight="false" outlineLevel="0" collapsed="false">
      <c r="A12" s="18" t="n">
        <f aca="false">Datos_Semanales!A12</f>
        <v>30000256</v>
      </c>
      <c r="B12" s="18" t="str">
        <f aca="false">Datos_Semanales!B12</f>
        <v>NECTAR W PIÑA SIXPACK 30X200ML</v>
      </c>
      <c r="C12" s="18" t="str">
        <f aca="false">Datos_Semanales!C12</f>
        <v>JUGOS Y NECTARES</v>
      </c>
      <c r="D12" s="23" t="n">
        <f aca="false">SUM(Datos_Semanales!F12:K12)</f>
        <v>337002</v>
      </c>
      <c r="E12" s="23" t="n">
        <f aca="false">AVERAGE(Datos_Semanales!F12:K12)</f>
        <v>56167</v>
      </c>
      <c r="F12" s="23" t="n">
        <f aca="false">STDEV(Datos_Semanales!F12:K12)</f>
        <v>34612.3735273962</v>
      </c>
      <c r="G12" s="27" t="n">
        <f aca="false">IF(E12&gt;0,F12/E12,"")</f>
        <v>0.616240381850486</v>
      </c>
      <c r="H12" s="24" t="n">
        <f aca="false">IF(SUM($D$5:$D$137)&gt;0,D12/SUM($D$5:$D$137),0)</f>
        <v>0.0305403584567661</v>
      </c>
      <c r="I12" s="24" t="n">
        <f aca="false">SUMIF($D$5:$D$137,"&gt;="&amp;D12)/SUM($D$5:$D$137)</f>
        <v>0.540787877032251</v>
      </c>
      <c r="J12" s="3" t="str">
        <f aca="false">IF(D12&lt;=0,"C",IF(I12&lt;=Parametros!$B$4,"A",IF(I12&lt;=Parametros!$B$5,"B","C")))</f>
        <v>A</v>
      </c>
      <c r="K12" s="3" t="str">
        <f aca="false">IF(E12&lt;=0,"Z",IF(G12&lt;=Parametros!$B$6,"X",IF(G12&lt;=Parametros!$B$7,"Y","Z")))</f>
        <v>Y</v>
      </c>
      <c r="L12" s="3" t="str">
        <f aca="false">J12&amp;K12</f>
        <v>AY</v>
      </c>
      <c r="M12" s="3" t="str">
        <f aca="false">INDEX(Parametros!$B$23:$B$31,MATCH(L12,Parametros!$A$23:$A$31,0))</f>
        <v>Alto volumen con variaciones: entender causas (promos, cadenas). Validar con KAM antes de ajustar.</v>
      </c>
      <c r="N12" s="3" t="str">
        <f aca="false">INDEX(Parametros!$C$23:$C$31,MATCH(L12,Parametros!$A$23:$A$31,0))</f>
        <v>Semanal</v>
      </c>
      <c r="O12" s="23" t="n">
        <f aca="false">SUM(Datos_Semanales!M12:R12)</f>
        <v>304146.60977481</v>
      </c>
      <c r="P12" s="24" t="n">
        <f aca="false">IF(D12&gt;0,SUMPRODUCT(ABS(Datos_Semanales!F12:K12-Datos_Semanales!M12:R12))/D12,"")</f>
        <v>0.41618658970923</v>
      </c>
      <c r="Q12" s="24" t="n">
        <f aca="false">IF(D12&gt;0,O12/D12-1,"")</f>
        <v>-0.0974931609461954</v>
      </c>
      <c r="R12" s="23" t="n">
        <f aca="false">SQRT(SUMXMY2(Datos_Semanales!F12:K12,Datos_Semanales!M12:R12)/COUNT(Datos_Semanales!F12:K12))</f>
        <v>26394.7768594339</v>
      </c>
      <c r="T12" s="2" t="s">
        <v>343</v>
      </c>
      <c r="U12" s="24" t="n">
        <f aca="false">SUMIF($L$5:$L$137,"BX",$D$5:$D$137)/SUM($D$5:$D$137)</f>
        <v>0.127417362075338</v>
      </c>
      <c r="V12" s="24" t="n">
        <f aca="false">SUMIF($L$5:$L$137,"BY",$D$5:$D$137)/SUM($D$5:$D$137)</f>
        <v>0.0254479787479879</v>
      </c>
      <c r="W12" s="24" t="n">
        <f aca="false">SUMIF($L$5:$L$137,"BZ",$D$5:$D$137)/SUM($D$5:$D$137)</f>
        <v>0</v>
      </c>
    </row>
    <row r="13" customFormat="false" ht="15" hidden="false" customHeight="false" outlineLevel="0" collapsed="false">
      <c r="A13" s="18" t="n">
        <f aca="false">Datos_Semanales!A13</f>
        <v>30000258</v>
      </c>
      <c r="B13" s="18" t="str">
        <f aca="false">Datos_Semanales!B13</f>
        <v>NECTAR W NJA SIXPACK 30X200ML</v>
      </c>
      <c r="C13" s="18" t="str">
        <f aca="false">Datos_Semanales!C13</f>
        <v>JUGOS Y NECTARES</v>
      </c>
      <c r="D13" s="23" t="n">
        <f aca="false">SUM(Datos_Semanales!F13:K13)</f>
        <v>325614</v>
      </c>
      <c r="E13" s="23" t="n">
        <f aca="false">AVERAGE(Datos_Semanales!F13:K13)</f>
        <v>54269</v>
      </c>
      <c r="F13" s="23" t="n">
        <f aca="false">STDEV(Datos_Semanales!F13:K13)</f>
        <v>30508.3140340465</v>
      </c>
      <c r="G13" s="27" t="n">
        <f aca="false">IF(E13&gt;0,F13/E13,"")</f>
        <v>0.562168347197231</v>
      </c>
      <c r="H13" s="24" t="n">
        <f aca="false">IF(SUM($D$5:$D$137)&gt;0,D13/SUM($D$5:$D$137),0)</f>
        <v>0.0295083360886328</v>
      </c>
      <c r="I13" s="24" t="n">
        <f aca="false">SUMIF($D$5:$D$137,"&gt;="&amp;D13)/SUM($D$5:$D$137)</f>
        <v>0.570296213120884</v>
      </c>
      <c r="J13" s="3" t="str">
        <f aca="false">IF(D13&lt;=0,"C",IF(I13&lt;=Parametros!$B$4,"A",IF(I13&lt;=Parametros!$B$5,"B","C")))</f>
        <v>A</v>
      </c>
      <c r="K13" s="3" t="str">
        <f aca="false">IF(E13&lt;=0,"Z",IF(G13&lt;=Parametros!$B$6,"X",IF(G13&lt;=Parametros!$B$7,"Y","Z")))</f>
        <v>Y</v>
      </c>
      <c r="L13" s="3" t="str">
        <f aca="false">J13&amp;K13</f>
        <v>AY</v>
      </c>
      <c r="M13" s="3" t="str">
        <f aca="false">INDEX(Parametros!$B$23:$B$31,MATCH(L13,Parametros!$A$23:$A$31,0))</f>
        <v>Alto volumen con variaciones: entender causas (promos, cadenas). Validar con KAM antes de ajustar.</v>
      </c>
      <c r="N13" s="3" t="str">
        <f aca="false">INDEX(Parametros!$C$23:$C$31,MATCH(L13,Parametros!$A$23:$A$31,0))</f>
        <v>Semanal</v>
      </c>
      <c r="O13" s="23" t="n">
        <f aca="false">SUM(Datos_Semanales!M13:R13)</f>
        <v>399775.605169129</v>
      </c>
      <c r="P13" s="24" t="n">
        <f aca="false">IF(D13&gt;0,SUMPRODUCT(ABS(Datos_Semanales!F13:K13-Datos_Semanales!M13:R13))/D13,"")</f>
        <v>0.412328732827061</v>
      </c>
      <c r="Q13" s="24" t="n">
        <f aca="false">IF(D13&gt;0,O13/D13-1,"")</f>
        <v>0.227759264555975</v>
      </c>
      <c r="R13" s="23" t="n">
        <f aca="false">SQRT(SUMXMY2(Datos_Semanales!F13:K13,Datos_Semanales!M13:R13)/COUNT(Datos_Semanales!F13:K13))</f>
        <v>24438.2400442619</v>
      </c>
      <c r="T13" s="2" t="s">
        <v>344</v>
      </c>
      <c r="U13" s="24" t="n">
        <f aca="false">SUMIF($L$5:$L$137,"CX",$D$5:$D$137)/SUM($D$5:$D$137)</f>
        <v>0.0341280136658321</v>
      </c>
      <c r="V13" s="24" t="n">
        <f aca="false">SUMIF($L$5:$L$137,"CY",$D$5:$D$137)/SUM($D$5:$D$137)</f>
        <v>0.0131717926518983</v>
      </c>
      <c r="W13" s="24" t="n">
        <f aca="false">SUMIF($L$5:$L$137,"CZ",$D$5:$D$137)/SUM($D$5:$D$137)</f>
        <v>0.00468789907691227</v>
      </c>
    </row>
    <row r="14" customFormat="false" ht="15" hidden="false" customHeight="false" outlineLevel="0" collapsed="false">
      <c r="A14" s="18" t="n">
        <f aca="false">Datos_Semanales!A14</f>
        <v>30000257</v>
      </c>
      <c r="B14" s="18" t="str">
        <f aca="false">Datos_Semanales!B14</f>
        <v>NECTAR W MZNA SIXPACK 30X200ML</v>
      </c>
      <c r="C14" s="18" t="str">
        <f aca="false">Datos_Semanales!C14</f>
        <v>JUGOS Y NECTARES</v>
      </c>
      <c r="D14" s="23" t="n">
        <f aca="false">SUM(Datos_Semanales!F14:K14)</f>
        <v>322578</v>
      </c>
      <c r="E14" s="23" t="n">
        <f aca="false">AVERAGE(Datos_Semanales!F14:K14)</f>
        <v>53763</v>
      </c>
      <c r="F14" s="23" t="n">
        <f aca="false">STDEV(Datos_Semanales!F14:K14)</f>
        <v>25424.0403004715</v>
      </c>
      <c r="G14" s="27" t="n">
        <f aca="false">IF(E14&gt;0,F14/E14,"")</f>
        <v>0.472891027295194</v>
      </c>
      <c r="H14" s="24" t="n">
        <f aca="false">IF(SUM($D$5:$D$137)&gt;0,D14/SUM($D$5:$D$137),0)</f>
        <v>0.0292332026227342</v>
      </c>
      <c r="I14" s="24" t="n">
        <f aca="false">SUMIF($D$5:$D$137,"&gt;="&amp;D14)/SUM($D$5:$D$137)</f>
        <v>0.599529415743618</v>
      </c>
      <c r="J14" s="3" t="str">
        <f aca="false">IF(D14&lt;=0,"C",IF(I14&lt;=Parametros!$B$4,"A",IF(I14&lt;=Parametros!$B$5,"B","C")))</f>
        <v>A</v>
      </c>
      <c r="K14" s="3" t="str">
        <f aca="false">IF(E14&lt;=0,"Z",IF(G14&lt;=Parametros!$B$6,"X",IF(G14&lt;=Parametros!$B$7,"Y","Z")))</f>
        <v>X</v>
      </c>
      <c r="L14" s="3" t="str">
        <f aca="false">J14&amp;K14</f>
        <v>AX</v>
      </c>
      <c r="M14" s="3" t="str">
        <f aca="false">INDEX(Parametros!$B$23:$B$31,MATCH(L14,Parametros!$A$23:$A$31,0))</f>
        <v>Forecast estadístico casi automático. Ajustes mínimos. SS bajo porque la demanda es estable.</v>
      </c>
      <c r="N14" s="3" t="str">
        <f aca="false">INDEX(Parametros!$C$23:$C$31,MATCH(L14,Parametros!$A$23:$A$31,0))</f>
        <v>Mensual</v>
      </c>
      <c r="O14" s="23" t="n">
        <f aca="false">SUM(Datos_Semanales!M14:R14)</f>
        <v>308147.272144553</v>
      </c>
      <c r="P14" s="24" t="n">
        <f aca="false">IF(D14&gt;0,SUMPRODUCT(ABS(Datos_Semanales!F14:K14-Datos_Semanales!M14:R14))/D14,"")</f>
        <v>0.302493112387958</v>
      </c>
      <c r="Q14" s="24" t="n">
        <f aca="false">IF(D14&gt;0,O14/D14-1,"")</f>
        <v>-0.044735623183995</v>
      </c>
      <c r="R14" s="23" t="n">
        <f aca="false">SQRT(SUMXMY2(Datos_Semanales!F14:K14,Datos_Semanales!M14:R14)/COUNT(Datos_Semanales!F14:K14))</f>
        <v>19392.6104419052</v>
      </c>
      <c r="T14" s="28" t="s">
        <v>345</v>
      </c>
    </row>
    <row r="15" customFormat="false" ht="15" hidden="false" customHeight="false" outlineLevel="0" collapsed="false">
      <c r="A15" s="18" t="n">
        <f aca="false">Datos_Semanales!A15</f>
        <v>30000401</v>
      </c>
      <c r="B15" s="18" t="str">
        <f aca="false">Datos_Semanales!B15</f>
        <v>LECHE FRUTILLA LONCO 30X200ML</v>
      </c>
      <c r="C15" s="18" t="str">
        <f aca="false">Datos_Semanales!C15</f>
        <v>LECHES LIQUIDAS</v>
      </c>
      <c r="D15" s="23" t="n">
        <f aca="false">SUM(Datos_Semanales!F15:K15)</f>
        <v>239088</v>
      </c>
      <c r="E15" s="23" t="n">
        <f aca="false">AVERAGE(Datos_Semanales!F15:K15)</f>
        <v>39848</v>
      </c>
      <c r="F15" s="23" t="n">
        <f aca="false">STDEV(Datos_Semanales!F15:K15)</f>
        <v>27944.6743405609</v>
      </c>
      <c r="G15" s="27" t="n">
        <f aca="false">IF(E15&gt;0,F15/E15,"")</f>
        <v>0.701281729084543</v>
      </c>
      <c r="H15" s="24" t="n">
        <f aca="false">IF(SUM($D$5:$D$137)&gt;0,D15/SUM($D$5:$D$137),0)</f>
        <v>0.0216670323105242</v>
      </c>
      <c r="I15" s="24" t="n">
        <f aca="false">SUMIF($D$5:$D$137,"&gt;="&amp;D15)/SUM($D$5:$D$137)</f>
        <v>0.621196448054142</v>
      </c>
      <c r="J15" s="3" t="str">
        <f aca="false">IF(D15&lt;=0,"C",IF(I15&lt;=Parametros!$B$4,"A",IF(I15&lt;=Parametros!$B$5,"B","C")))</f>
        <v>A</v>
      </c>
      <c r="K15" s="3" t="str">
        <f aca="false">IF(E15&lt;=0,"Z",IF(G15&lt;=Parametros!$B$6,"X",IF(G15&lt;=Parametros!$B$7,"Y","Z")))</f>
        <v>Y</v>
      </c>
      <c r="L15" s="3" t="str">
        <f aca="false">J15&amp;K15</f>
        <v>AY</v>
      </c>
      <c r="M15" s="3" t="str">
        <f aca="false">INDEX(Parametros!$B$23:$B$31,MATCH(L15,Parametros!$A$23:$A$31,0))</f>
        <v>Alto volumen con variaciones: entender causas (promos, cadenas). Validar con KAM antes de ajustar.</v>
      </c>
      <c r="N15" s="3" t="str">
        <f aca="false">INDEX(Parametros!$C$23:$C$31,MATCH(L15,Parametros!$A$23:$A$31,0))</f>
        <v>Semanal</v>
      </c>
      <c r="O15" s="23" t="n">
        <f aca="false">SUM(Datos_Semanales!M15:R15)</f>
        <v>155008.284281518</v>
      </c>
      <c r="P15" s="24" t="n">
        <f aca="false">IF(D15&gt;0,SUMPRODUCT(ABS(Datos_Semanales!F15:K15-Datos_Semanales!M15:R15))/D15,"")</f>
        <v>0.404202985170657</v>
      </c>
      <c r="Q15" s="24" t="n">
        <f aca="false">IF(D15&gt;0,O15/D15-1,"")</f>
        <v>-0.351668489085534</v>
      </c>
      <c r="R15" s="23" t="n">
        <f aca="false">SQRT(SUMXMY2(Datos_Semanales!F15:K15,Datos_Semanales!M15:R15)/COUNT(Datos_Semanales!F15:K15))</f>
        <v>22905.3487307147</v>
      </c>
    </row>
    <row r="16" customFormat="false" ht="15" hidden="false" customHeight="false" outlineLevel="0" collapsed="false">
      <c r="A16" s="18" t="n">
        <f aca="false">Datos_Semanales!A16</f>
        <v>30000400</v>
      </c>
      <c r="B16" s="18" t="str">
        <f aca="false">Datos_Semanales!B16</f>
        <v>LECHE CHOC LONCO 30X200ML</v>
      </c>
      <c r="C16" s="18" t="str">
        <f aca="false">Datos_Semanales!C16</f>
        <v>LECHES LIQUIDAS</v>
      </c>
      <c r="D16" s="23" t="n">
        <f aca="false">SUM(Datos_Semanales!F16:K16)</f>
        <v>232812</v>
      </c>
      <c r="E16" s="23" t="n">
        <f aca="false">AVERAGE(Datos_Semanales!F16:K16)</f>
        <v>38802</v>
      </c>
      <c r="F16" s="23" t="n">
        <f aca="false">STDEV(Datos_Semanales!F16:K16)</f>
        <v>13337.8690951741</v>
      </c>
      <c r="G16" s="27" t="n">
        <f aca="false">IF(E16&gt;0,F16/E16,"")</f>
        <v>0.343741794113038</v>
      </c>
      <c r="H16" s="24" t="n">
        <f aca="false">IF(SUM($D$5:$D$137)&gt;0,D16/SUM($D$5:$D$137),0)</f>
        <v>0.0210982781497932</v>
      </c>
      <c r="I16" s="24" t="n">
        <f aca="false">SUMIF($D$5:$D$137,"&gt;="&amp;D16)/SUM($D$5:$D$137)</f>
        <v>0.642294726203936</v>
      </c>
      <c r="J16" s="3" t="str">
        <f aca="false">IF(D16&lt;=0,"C",IF(I16&lt;=Parametros!$B$4,"A",IF(I16&lt;=Parametros!$B$5,"B","C")))</f>
        <v>A</v>
      </c>
      <c r="K16" s="3" t="str">
        <f aca="false">IF(E16&lt;=0,"Z",IF(G16&lt;=Parametros!$B$6,"X",IF(G16&lt;=Parametros!$B$7,"Y","Z")))</f>
        <v>X</v>
      </c>
      <c r="L16" s="3" t="str">
        <f aca="false">J16&amp;K16</f>
        <v>AX</v>
      </c>
      <c r="M16" s="3" t="str">
        <f aca="false">INDEX(Parametros!$B$23:$B$31,MATCH(L16,Parametros!$A$23:$A$31,0))</f>
        <v>Forecast estadístico casi automático. Ajustes mínimos. SS bajo porque la demanda es estable.</v>
      </c>
      <c r="N16" s="3" t="str">
        <f aca="false">INDEX(Parametros!$C$23:$C$31,MATCH(L16,Parametros!$A$23:$A$31,0))</f>
        <v>Mensual</v>
      </c>
      <c r="O16" s="23" t="n">
        <f aca="false">SUM(Datos_Semanales!M16:R16)</f>
        <v>200388.68808477</v>
      </c>
      <c r="P16" s="24" t="n">
        <f aca="false">IF(D16&gt;0,SUMPRODUCT(ABS(Datos_Semanales!F16:K16-Datos_Semanales!M16:R16))/D16,"")</f>
        <v>0.139268216050846</v>
      </c>
      <c r="Q16" s="24" t="n">
        <f aca="false">IF(D16&gt;0,O16/D16-1,"")</f>
        <v>-0.139268216050846</v>
      </c>
      <c r="R16" s="23" t="n">
        <f aca="false">SQRT(SUMXMY2(Datos_Semanales!F16:K16,Datos_Semanales!M16:R16)/COUNT(Datos_Semanales!F16:K16))</f>
        <v>7041.43677838161</v>
      </c>
    </row>
    <row r="17" customFormat="false" ht="15" hidden="false" customHeight="false" outlineLevel="0" collapsed="false">
      <c r="A17" s="18" t="n">
        <f aca="false">Datos_Semanales!A17</f>
        <v>30000309</v>
      </c>
      <c r="B17" s="18" t="str">
        <f aca="false">Datos_Semanales!B17</f>
        <v>YOGU YOGU MORA 30X200GR</v>
      </c>
      <c r="C17" s="18" t="str">
        <f aca="false">Datos_Semanales!C17</f>
        <v>LECHES LIQUIDAS</v>
      </c>
      <c r="D17" s="23" t="n">
        <f aca="false">SUM(Datos_Semanales!F17:K17)</f>
        <v>229086</v>
      </c>
      <c r="E17" s="23" t="n">
        <f aca="false">AVERAGE(Datos_Semanales!F17:K17)</f>
        <v>38181</v>
      </c>
      <c r="F17" s="23" t="n">
        <f aca="false">STDEV(Datos_Semanales!F17:K17)</f>
        <v>7226.47607067234</v>
      </c>
      <c r="G17" s="27" t="n">
        <f aca="false">IF(E17&gt;0,F17/E17,"")</f>
        <v>0.189268905232245</v>
      </c>
      <c r="H17" s="24" t="n">
        <f aca="false">IF(SUM($D$5:$D$137)&gt;0,D17/SUM($D$5:$D$137),0)</f>
        <v>0.0207606143507359</v>
      </c>
      <c r="I17" s="24" t="n">
        <f aca="false">SUMIF($D$5:$D$137,"&gt;="&amp;D17)/SUM($D$5:$D$137)</f>
        <v>0.663055340554672</v>
      </c>
      <c r="J17" s="3" t="str">
        <f aca="false">IF(D17&lt;=0,"C",IF(I17&lt;=Parametros!$B$4,"A",IF(I17&lt;=Parametros!$B$5,"B","C")))</f>
        <v>A</v>
      </c>
      <c r="K17" s="3" t="str">
        <f aca="false">IF(E17&lt;=0,"Z",IF(G17&lt;=Parametros!$B$6,"X",IF(G17&lt;=Parametros!$B$7,"Y","Z")))</f>
        <v>X</v>
      </c>
      <c r="L17" s="3" t="str">
        <f aca="false">J17&amp;K17</f>
        <v>AX</v>
      </c>
      <c r="M17" s="3" t="str">
        <f aca="false">INDEX(Parametros!$B$23:$B$31,MATCH(L17,Parametros!$A$23:$A$31,0))</f>
        <v>Forecast estadístico casi automático. Ajustes mínimos. SS bajo porque la demanda es estable.</v>
      </c>
      <c r="N17" s="3" t="str">
        <f aca="false">INDEX(Parametros!$C$23:$C$31,MATCH(L17,Parametros!$A$23:$A$31,0))</f>
        <v>Mensual</v>
      </c>
      <c r="O17" s="23" t="n">
        <f aca="false">SUM(Datos_Semanales!M17:R17)</f>
        <v>230583.521522753</v>
      </c>
      <c r="P17" s="24" t="n">
        <f aca="false">IF(D17&gt;0,SUMPRODUCT(ABS(Datos_Semanales!F17:K17-Datos_Semanales!M17:R17))/D17,"")</f>
        <v>0.0553183040485368</v>
      </c>
      <c r="Q17" s="24" t="n">
        <f aca="false">IF(D17&gt;0,O17/D17-1,"")</f>
        <v>0.00653694037502528</v>
      </c>
      <c r="R17" s="23" t="n">
        <f aca="false">SQRT(SUMXMY2(Datos_Semanales!F17:K17,Datos_Semanales!M17:R17)/COUNT(Datos_Semanales!F17:K17))</f>
        <v>2581.79726393565</v>
      </c>
    </row>
    <row r="18" customFormat="false" ht="15" hidden="false" customHeight="false" outlineLevel="0" collapsed="false">
      <c r="A18" s="18" t="n">
        <f aca="false">Datos_Semanales!A18</f>
        <v>30002099</v>
      </c>
      <c r="B18" s="18" t="str">
        <f aca="false">Datos_Semanales!B18</f>
        <v>NECTAR W TUTTIFRUTILLA SIXPACK 30X200ML</v>
      </c>
      <c r="C18" s="18" t="str">
        <f aca="false">Datos_Semanales!C18</f>
        <v>JUGOS Y NECTARES</v>
      </c>
      <c r="D18" s="23" t="n">
        <f aca="false">SUM(Datos_Semanales!F18:K18)</f>
        <v>227892</v>
      </c>
      <c r="E18" s="23" t="n">
        <f aca="false">AVERAGE(Datos_Semanales!F18:K18)</f>
        <v>37982</v>
      </c>
      <c r="F18" s="23" t="n">
        <f aca="false">STDEV(Datos_Semanales!F18:K18)</f>
        <v>32068.5635973924</v>
      </c>
      <c r="G18" s="27" t="n">
        <f aca="false">IF(E18&gt;0,F18/E18,"")</f>
        <v>0.844309504433479</v>
      </c>
      <c r="H18" s="24" t="n">
        <f aca="false">IF(SUM($D$5:$D$137)&gt;0,D18/SUM($D$5:$D$137),0)</f>
        <v>0.0206524096872699</v>
      </c>
      <c r="I18" s="24" t="n">
        <f aca="false">SUMIF($D$5:$D$137,"&gt;="&amp;D18)/SUM($D$5:$D$137)</f>
        <v>0.683707750241941</v>
      </c>
      <c r="J18" s="3" t="str">
        <f aca="false">IF(D18&lt;=0,"C",IF(I18&lt;=Parametros!$B$4,"A",IF(I18&lt;=Parametros!$B$5,"B","C")))</f>
        <v>A</v>
      </c>
      <c r="K18" s="3" t="str">
        <f aca="false">IF(E18&lt;=0,"Z",IF(G18&lt;=Parametros!$B$6,"X",IF(G18&lt;=Parametros!$B$7,"Y","Z")))</f>
        <v>Y</v>
      </c>
      <c r="L18" s="3" t="str">
        <f aca="false">J18&amp;K18</f>
        <v>AY</v>
      </c>
      <c r="M18" s="3" t="str">
        <f aca="false">INDEX(Parametros!$B$23:$B$31,MATCH(L18,Parametros!$A$23:$A$31,0))</f>
        <v>Alto volumen con variaciones: entender causas (promos, cadenas). Validar con KAM antes de ajustar.</v>
      </c>
      <c r="N18" s="3" t="str">
        <f aca="false">INDEX(Parametros!$C$23:$C$31,MATCH(L18,Parametros!$A$23:$A$31,0))</f>
        <v>Semanal</v>
      </c>
      <c r="O18" s="23" t="n">
        <f aca="false">SUM(Datos_Semanales!M18:R18)</f>
        <v>210022.61536724</v>
      </c>
      <c r="P18" s="24" t="n">
        <f aca="false">IF(D18&gt;0,SUMPRODUCT(ABS(Datos_Semanales!F18:K18-Datos_Semanales!M18:R18))/D18,"")</f>
        <v>0.564631171584889</v>
      </c>
      <c r="Q18" s="24" t="n">
        <f aca="false">IF(D18&gt;0,O18/D18-1,"")</f>
        <v>-0.0784116363573983</v>
      </c>
      <c r="R18" s="23" t="n">
        <f aca="false">SQRT(SUMXMY2(Datos_Semanales!F18:K18,Datos_Semanales!M18:R18)/COUNT(Datos_Semanales!F18:K18))</f>
        <v>25722.5607356231</v>
      </c>
    </row>
    <row r="19" customFormat="false" ht="15" hidden="false" customHeight="false" outlineLevel="0" collapsed="false">
      <c r="A19" s="18" t="n">
        <f aca="false">Datos_Semanales!A19</f>
        <v>30000481</v>
      </c>
      <c r="B19" s="18" t="str">
        <f aca="false">Datos_Semanales!B19</f>
        <v>LONCOLECHE EXTRA PROTEINA 12X1LT</v>
      </c>
      <c r="C19" s="18" t="str">
        <f aca="false">Datos_Semanales!C19</f>
        <v>LECHES LIQUIDAS</v>
      </c>
      <c r="D19" s="23" t="n">
        <f aca="false">SUM(Datos_Semanales!F19:K19)</f>
        <v>185808</v>
      </c>
      <c r="E19" s="23" t="n">
        <f aca="false">AVERAGE(Datos_Semanales!F19:K19)</f>
        <v>30968</v>
      </c>
      <c r="F19" s="23" t="n">
        <f aca="false">STDEV(Datos_Semanales!F19:K19)</f>
        <v>7218.75823116414</v>
      </c>
      <c r="G19" s="27" t="n">
        <f aca="false">IF(E19&gt;0,F19/E19,"")</f>
        <v>0.233103792016409</v>
      </c>
      <c r="H19" s="24" t="n">
        <f aca="false">IF(SUM($D$5:$D$137)&gt;0,D19/SUM($D$5:$D$137),0)</f>
        <v>0.016838603106613</v>
      </c>
      <c r="I19" s="24" t="n">
        <f aca="false">SUMIF($D$5:$D$137,"&gt;="&amp;D19)/SUM($D$5:$D$137)</f>
        <v>0.700546353348554</v>
      </c>
      <c r="J19" s="3" t="str">
        <f aca="false">IF(D19&lt;=0,"C",IF(I19&lt;=Parametros!$B$4,"A",IF(I19&lt;=Parametros!$B$5,"B","C")))</f>
        <v>A</v>
      </c>
      <c r="K19" s="3" t="str">
        <f aca="false">IF(E19&lt;=0,"Z",IF(G19&lt;=Parametros!$B$6,"X",IF(G19&lt;=Parametros!$B$7,"Y","Z")))</f>
        <v>X</v>
      </c>
      <c r="L19" s="3" t="str">
        <f aca="false">J19&amp;K19</f>
        <v>AX</v>
      </c>
      <c r="M19" s="3" t="str">
        <f aca="false">INDEX(Parametros!$B$23:$B$31,MATCH(L19,Parametros!$A$23:$A$31,0))</f>
        <v>Forecast estadístico casi automático. Ajustes mínimos. SS bajo porque la demanda es estable.</v>
      </c>
      <c r="N19" s="3" t="str">
        <f aca="false">INDEX(Parametros!$C$23:$C$31,MATCH(L19,Parametros!$A$23:$A$31,0))</f>
        <v>Mensual</v>
      </c>
      <c r="O19" s="23" t="n">
        <f aca="false">SUM(Datos_Semanales!M19:R19)</f>
        <v>229768.353681915</v>
      </c>
      <c r="P19" s="24" t="n">
        <f aca="false">IF(D19&gt;0,SUMPRODUCT(ABS(Datos_Semanales!F19:K19-Datos_Semanales!M19:R19))/D19,"")</f>
        <v>0.40265410360111</v>
      </c>
      <c r="Q19" s="24" t="n">
        <f aca="false">IF(D19&gt;0,O19/D19-1,"")</f>
        <v>0.236590209689115</v>
      </c>
      <c r="R19" s="23" t="n">
        <f aca="false">SQRT(SUMXMY2(Datos_Semanales!F19:K19,Datos_Semanales!M19:R19)/COUNT(Datos_Semanales!F19:K19))</f>
        <v>14170.7888300335</v>
      </c>
    </row>
    <row r="20" customFormat="false" ht="15" hidden="false" customHeight="false" outlineLevel="0" collapsed="false">
      <c r="A20" s="18" t="n">
        <f aca="false">Datos_Semanales!A20</f>
        <v>30002066</v>
      </c>
      <c r="B20" s="18" t="str">
        <f aca="false">Datos_Semanales!B20</f>
        <v>LECHE FRUTILLA LONCOLECHE 12X1LT</v>
      </c>
      <c r="C20" s="18" t="str">
        <f aca="false">Datos_Semanales!C20</f>
        <v>LECHES LIQUIDAS</v>
      </c>
      <c r="D20" s="23" t="n">
        <f aca="false">SUM(Datos_Semanales!F20:K20)</f>
        <v>161400</v>
      </c>
      <c r="E20" s="23" t="n">
        <f aca="false">AVERAGE(Datos_Semanales!F20:K20)</f>
        <v>26900</v>
      </c>
      <c r="F20" s="23" t="n">
        <f aca="false">STDEV(Datos_Semanales!F20:K20)</f>
        <v>10133.354982433</v>
      </c>
      <c r="G20" s="27" t="n">
        <f aca="false">IF(E20&gt;0,F20/E20,"")</f>
        <v>0.376704646187101</v>
      </c>
      <c r="H20" s="24" t="n">
        <f aca="false">IF(SUM($D$5:$D$137)&gt;0,D20/SUM($D$5:$D$137),0)</f>
        <v>0.0146266605388753</v>
      </c>
      <c r="I20" s="24" t="n">
        <f aca="false">SUMIF($D$5:$D$137,"&gt;="&amp;D20)/SUM($D$5:$D$137)</f>
        <v>0.71517301388743</v>
      </c>
      <c r="J20" s="3" t="str">
        <f aca="false">IF(D20&lt;=0,"C",IF(I20&lt;=Parametros!$B$4,"A",IF(I20&lt;=Parametros!$B$5,"B","C")))</f>
        <v>A</v>
      </c>
      <c r="K20" s="3" t="str">
        <f aca="false">IF(E20&lt;=0,"Z",IF(G20&lt;=Parametros!$B$6,"X",IF(G20&lt;=Parametros!$B$7,"Y","Z")))</f>
        <v>X</v>
      </c>
      <c r="L20" s="3" t="str">
        <f aca="false">J20&amp;K20</f>
        <v>AX</v>
      </c>
      <c r="M20" s="3" t="str">
        <f aca="false">INDEX(Parametros!$B$23:$B$31,MATCH(L20,Parametros!$A$23:$A$31,0))</f>
        <v>Forecast estadístico casi automático. Ajustes mínimos. SS bajo porque la demanda es estable.</v>
      </c>
      <c r="N20" s="3" t="str">
        <f aca="false">INDEX(Parametros!$C$23:$C$31,MATCH(L20,Parametros!$A$23:$A$31,0))</f>
        <v>Mensual</v>
      </c>
      <c r="O20" s="23" t="n">
        <f aca="false">SUM(Datos_Semanales!M20:R20)</f>
        <v>58654.5695669944</v>
      </c>
      <c r="P20" s="24" t="n">
        <f aca="false">IF(D20&gt;0,SUMPRODUCT(ABS(Datos_Semanales!F20:K20-Datos_Semanales!M20:R20))/D20,"")</f>
        <v>0.636588788308585</v>
      </c>
      <c r="Q20" s="24" t="n">
        <f aca="false">IF(D20&gt;0,O20/D20-1,"")</f>
        <v>-0.636588788308585</v>
      </c>
      <c r="R20" s="23" t="n">
        <f aca="false">SQRT(SUMXMY2(Datos_Semanales!F20:K20,Datos_Semanales!M20:R20)/COUNT(Datos_Semanales!F20:K20))</f>
        <v>19967.4549232887</v>
      </c>
    </row>
    <row r="21" customFormat="false" ht="15" hidden="false" customHeight="false" outlineLevel="0" collapsed="false">
      <c r="A21" s="18" t="n">
        <f aca="false">Datos_Semanales!A21</f>
        <v>30000514</v>
      </c>
      <c r="B21" s="18" t="str">
        <f aca="false">Datos_Semanales!B21</f>
        <v>LONCO PROTEIN MILK CAPP 12X1LT</v>
      </c>
      <c r="C21" s="18" t="str">
        <f aca="false">Datos_Semanales!C21</f>
        <v>LECHES LIQUIDAS</v>
      </c>
      <c r="D21" s="23" t="n">
        <f aca="false">SUM(Datos_Semanales!F21:K21)</f>
        <v>137532</v>
      </c>
      <c r="E21" s="23" t="n">
        <f aca="false">AVERAGE(Datos_Semanales!F21:K21)</f>
        <v>22922</v>
      </c>
      <c r="F21" s="23" t="n">
        <f aca="false">STDEV(Datos_Semanales!F21:K21)</f>
        <v>6105.55668223627</v>
      </c>
      <c r="G21" s="27" t="n">
        <f aca="false">IF(E21&gt;0,F21/E21,"")</f>
        <v>0.266362301816433</v>
      </c>
      <c r="H21" s="24" t="n">
        <f aca="false">IF(SUM($D$5:$D$137)&gt;0,D21/SUM($D$5:$D$137),0)</f>
        <v>0.0124636547536096</v>
      </c>
      <c r="I21" s="24" t="n">
        <f aca="false">SUMIF($D$5:$D$137,"&gt;="&amp;D21)/SUM($D$5:$D$137)</f>
        <v>0.727636668641039</v>
      </c>
      <c r="J21" s="3" t="str">
        <f aca="false">IF(D21&lt;=0,"C",IF(I21&lt;=Parametros!$B$4,"A",IF(I21&lt;=Parametros!$B$5,"B","C")))</f>
        <v>A</v>
      </c>
      <c r="K21" s="3" t="str">
        <f aca="false">IF(E21&lt;=0,"Z",IF(G21&lt;=Parametros!$B$6,"X",IF(G21&lt;=Parametros!$B$7,"Y","Z")))</f>
        <v>X</v>
      </c>
      <c r="L21" s="3" t="str">
        <f aca="false">J21&amp;K21</f>
        <v>AX</v>
      </c>
      <c r="M21" s="3" t="str">
        <f aca="false">INDEX(Parametros!$B$23:$B$31,MATCH(L21,Parametros!$A$23:$A$31,0))</f>
        <v>Forecast estadístico casi automático. Ajustes mínimos. SS bajo porque la demanda es estable.</v>
      </c>
      <c r="N21" s="3" t="str">
        <f aca="false">INDEX(Parametros!$C$23:$C$31,MATCH(L21,Parametros!$A$23:$A$31,0))</f>
        <v>Mensual</v>
      </c>
      <c r="O21" s="23" t="n">
        <f aca="false">SUM(Datos_Semanales!M21:R21)</f>
        <v>134355.376829953</v>
      </c>
      <c r="P21" s="24" t="n">
        <f aca="false">IF(D21&gt;0,SUMPRODUCT(ABS(Datos_Semanales!F21:K21-Datos_Semanales!M21:R21))/D21,"")</f>
        <v>0.254706564072703</v>
      </c>
      <c r="Q21" s="24" t="n">
        <f aca="false">IF(D21&gt;0,O21/D21-1,"")</f>
        <v>-0.023097338583362</v>
      </c>
      <c r="R21" s="23" t="n">
        <f aca="false">SQRT(SUMXMY2(Datos_Semanales!F21:K21,Datos_Semanales!M21:R21)/COUNT(Datos_Semanales!F21:K21))</f>
        <v>7275.61225674743</v>
      </c>
    </row>
    <row r="22" customFormat="false" ht="15" hidden="false" customHeight="false" outlineLevel="0" collapsed="false">
      <c r="A22" s="18" t="n">
        <f aca="false">Datos_Semanales!A22</f>
        <v>30002329</v>
      </c>
      <c r="B22" s="18" t="str">
        <f aca="false">Datos_Semanales!B22</f>
        <v>LECHE LONCO PROTEIN CAPPUCCINO 30X200ML</v>
      </c>
      <c r="C22" s="18" t="str">
        <f aca="false">Datos_Semanales!C22</f>
        <v>LECHES LIQUIDAS</v>
      </c>
      <c r="D22" s="23" t="n">
        <f aca="false">SUM(Datos_Semanales!F22:K22)</f>
        <v>134646</v>
      </c>
      <c r="E22" s="23" t="n">
        <f aca="false">AVERAGE(Datos_Semanales!F22:K22)</f>
        <v>22441</v>
      </c>
      <c r="F22" s="23" t="n">
        <f aca="false">STDEV(Datos_Semanales!F22:K22)</f>
        <v>5884.0950026321</v>
      </c>
      <c r="G22" s="27" t="n">
        <f aca="false">IF(E22&gt;0,F22/E22,"")</f>
        <v>0.262202887689145</v>
      </c>
      <c r="H22" s="24" t="n">
        <f aca="false">IF(SUM($D$5:$D$137)&gt;0,D22/SUM($D$5:$D$137),0)</f>
        <v>0.0122021148383978</v>
      </c>
      <c r="I22" s="24" t="n">
        <f aca="false">SUMIF($D$5:$D$137,"&gt;="&amp;D22)/SUM($D$5:$D$137)</f>
        <v>0.739838783479437</v>
      </c>
      <c r="J22" s="3" t="str">
        <f aca="false">IF(D22&lt;=0,"C",IF(I22&lt;=Parametros!$B$4,"A",IF(I22&lt;=Parametros!$B$5,"B","C")))</f>
        <v>A</v>
      </c>
      <c r="K22" s="3" t="str">
        <f aca="false">IF(E22&lt;=0,"Z",IF(G22&lt;=Parametros!$B$6,"X",IF(G22&lt;=Parametros!$B$7,"Y","Z")))</f>
        <v>X</v>
      </c>
      <c r="L22" s="3" t="str">
        <f aca="false">J22&amp;K22</f>
        <v>AX</v>
      </c>
      <c r="M22" s="3" t="str">
        <f aca="false">INDEX(Parametros!$B$23:$B$31,MATCH(L22,Parametros!$A$23:$A$31,0))</f>
        <v>Forecast estadístico casi automático. Ajustes mínimos. SS bajo porque la demanda es estable.</v>
      </c>
      <c r="N22" s="3" t="str">
        <f aca="false">INDEX(Parametros!$C$23:$C$31,MATCH(L22,Parametros!$A$23:$A$31,0))</f>
        <v>Mensual</v>
      </c>
      <c r="O22" s="23" t="n">
        <f aca="false">SUM(Datos_Semanales!M22:R22)</f>
        <v>123223.086939072</v>
      </c>
      <c r="P22" s="24" t="n">
        <f aca="false">IF(D22&gt;0,SUMPRODUCT(ABS(Datos_Semanales!F22:K22-Datos_Semanales!M22:R22))/D22,"")</f>
        <v>0.210321235394501</v>
      </c>
      <c r="Q22" s="24" t="n">
        <f aca="false">IF(D22&gt;0,O22/D22-1,"")</f>
        <v>-0.0848366313215987</v>
      </c>
      <c r="R22" s="23" t="n">
        <f aca="false">SQRT(SUMXMY2(Datos_Semanales!F22:K22,Datos_Semanales!M22:R22)/COUNT(Datos_Semanales!F22:K22))</f>
        <v>5757.83858018592</v>
      </c>
    </row>
    <row r="23" customFormat="false" ht="15" hidden="false" customHeight="false" outlineLevel="0" collapsed="false">
      <c r="A23" s="18" t="n">
        <f aca="false">Datos_Semanales!A23</f>
        <v>30000305</v>
      </c>
      <c r="B23" s="18" t="str">
        <f aca="false">Datos_Semanales!B23</f>
        <v>YOGU YOGU FRUTILLA 30X200GR</v>
      </c>
      <c r="C23" s="18" t="str">
        <f aca="false">Datos_Semanales!C23</f>
        <v>LECHES LIQUIDAS</v>
      </c>
      <c r="D23" s="23" t="n">
        <f aca="false">SUM(Datos_Semanales!F23:K23)</f>
        <v>128718</v>
      </c>
      <c r="E23" s="23" t="n">
        <f aca="false">AVERAGE(Datos_Semanales!F23:K23)</f>
        <v>21453</v>
      </c>
      <c r="F23" s="23" t="n">
        <f aca="false">STDEV(Datos_Semanales!F23:K23)</f>
        <v>3051.57841124884</v>
      </c>
      <c r="G23" s="27" t="n">
        <f aca="false">IF(E23&gt;0,F23/E23,"")</f>
        <v>0.142244833414853</v>
      </c>
      <c r="H23" s="24" t="n">
        <f aca="false">IF(SUM($D$5:$D$137)&gt;0,D23/SUM($D$5:$D$137),0)</f>
        <v>0.0116648977152599</v>
      </c>
      <c r="I23" s="24" t="n">
        <f aca="false">SUMIF($D$5:$D$137,"&gt;="&amp;D23)/SUM($D$5:$D$137)</f>
        <v>0.751503681194697</v>
      </c>
      <c r="J23" s="3" t="str">
        <f aca="false">IF(D23&lt;=0,"C",IF(I23&lt;=Parametros!$B$4,"A",IF(I23&lt;=Parametros!$B$5,"B","C")))</f>
        <v>A</v>
      </c>
      <c r="K23" s="3" t="str">
        <f aca="false">IF(E23&lt;=0,"Z",IF(G23&lt;=Parametros!$B$6,"X",IF(G23&lt;=Parametros!$B$7,"Y","Z")))</f>
        <v>X</v>
      </c>
      <c r="L23" s="3" t="str">
        <f aca="false">J23&amp;K23</f>
        <v>AX</v>
      </c>
      <c r="M23" s="3" t="str">
        <f aca="false">INDEX(Parametros!$B$23:$B$31,MATCH(L23,Parametros!$A$23:$A$31,0))</f>
        <v>Forecast estadístico casi automático. Ajustes mínimos. SS bajo porque la demanda es estable.</v>
      </c>
      <c r="N23" s="3" t="str">
        <f aca="false">INDEX(Parametros!$C$23:$C$31,MATCH(L23,Parametros!$A$23:$A$31,0))</f>
        <v>Mensual</v>
      </c>
      <c r="O23" s="23" t="n">
        <f aca="false">SUM(Datos_Semanales!M23:R23)</f>
        <v>125066.871062014</v>
      </c>
      <c r="P23" s="24" t="n">
        <f aca="false">IF(D23&gt;0,SUMPRODUCT(ABS(Datos_Semanales!F23:K23-Datos_Semanales!M23:R23))/D23,"")</f>
        <v>0.137784736065321</v>
      </c>
      <c r="Q23" s="24" t="n">
        <f aca="false">IF(D23&gt;0,O23/D23-1,"")</f>
        <v>-0.0283653330380087</v>
      </c>
      <c r="R23" s="23" t="n">
        <f aca="false">SQRT(SUMXMY2(Datos_Semanales!F23:K23,Datos_Semanales!M23:R23)/COUNT(Datos_Semanales!F23:K23))</f>
        <v>3332.65282192597</v>
      </c>
    </row>
    <row r="24" customFormat="false" ht="15" hidden="false" customHeight="false" outlineLevel="0" collapsed="false">
      <c r="A24" s="18" t="n">
        <f aca="false">Datos_Semanales!A24</f>
        <v>30002315</v>
      </c>
      <c r="B24" s="18" t="str">
        <f aca="false">Datos_Semanales!B24</f>
        <v>LECHE LONCO FULL PRO DESCR 12X1LT</v>
      </c>
      <c r="C24" s="18" t="str">
        <f aca="false">Datos_Semanales!C24</f>
        <v>LECHES LIQUIDAS</v>
      </c>
      <c r="D24" s="23" t="n">
        <f aca="false">SUM(Datos_Semanales!F24:K24)</f>
        <v>110736</v>
      </c>
      <c r="E24" s="23" t="n">
        <f aca="false">AVERAGE(Datos_Semanales!F24:K24)</f>
        <v>18456</v>
      </c>
      <c r="F24" s="23" t="n">
        <f aca="false">STDEV(Datos_Semanales!F24:K24)</f>
        <v>4563.07475283936</v>
      </c>
      <c r="G24" s="27" t="n">
        <f aca="false">IF(E24&gt;0,F24/E24,"")</f>
        <v>0.247240721328531</v>
      </c>
      <c r="H24" s="24" t="n">
        <f aca="false">IF(SUM($D$5:$D$137)&gt;0,D24/SUM($D$5:$D$137),0)</f>
        <v>0.0100353028589398</v>
      </c>
      <c r="I24" s="24" t="n">
        <f aca="false">SUMIF($D$5:$D$137,"&gt;="&amp;D24)/SUM($D$5:$D$137)</f>
        <v>0.761538984053637</v>
      </c>
      <c r="J24" s="3" t="str">
        <f aca="false">IF(D24&lt;=0,"C",IF(I24&lt;=Parametros!$B$4,"A",IF(I24&lt;=Parametros!$B$5,"B","C")))</f>
        <v>A</v>
      </c>
      <c r="K24" s="3" t="str">
        <f aca="false">IF(E24&lt;=0,"Z",IF(G24&lt;=Parametros!$B$6,"X",IF(G24&lt;=Parametros!$B$7,"Y","Z")))</f>
        <v>X</v>
      </c>
      <c r="L24" s="3" t="str">
        <f aca="false">J24&amp;K24</f>
        <v>AX</v>
      </c>
      <c r="M24" s="3" t="str">
        <f aca="false">INDEX(Parametros!$B$23:$B$31,MATCH(L24,Parametros!$A$23:$A$31,0))</f>
        <v>Forecast estadístico casi automático. Ajustes mínimos. SS bajo porque la demanda es estable.</v>
      </c>
      <c r="N24" s="3" t="str">
        <f aca="false">INDEX(Parametros!$C$23:$C$31,MATCH(L24,Parametros!$A$23:$A$31,0))</f>
        <v>Mensual</v>
      </c>
      <c r="O24" s="23" t="n">
        <f aca="false">SUM(Datos_Semanales!M24:R24)</f>
        <v>78814.4179562293</v>
      </c>
      <c r="P24" s="24" t="n">
        <f aca="false">IF(D24&gt;0,SUMPRODUCT(ABS(Datos_Semanales!F24:K24-Datos_Semanales!M24:R24))/D24,"")</f>
        <v>0.343606253104417</v>
      </c>
      <c r="Q24" s="24" t="n">
        <f aca="false">IF(D24&gt;0,O24/D24-1,"")</f>
        <v>-0.288267429235034</v>
      </c>
      <c r="R24" s="23" t="n">
        <f aca="false">SQRT(SUMXMY2(Datos_Semanales!F24:K24,Datos_Semanales!M24:R24)/COUNT(Datos_Semanales!F24:K24))</f>
        <v>7817.49426574967</v>
      </c>
    </row>
    <row r="25" customFormat="false" ht="15" hidden="false" customHeight="false" outlineLevel="0" collapsed="false">
      <c r="A25" s="18" t="n">
        <f aca="false">Datos_Semanales!A25</f>
        <v>30000384</v>
      </c>
      <c r="B25" s="18" t="str">
        <f aca="false">Datos_Semanales!B25</f>
        <v>CREMA S/LAC LONCO 30X200ML</v>
      </c>
      <c r="C25" s="18" t="str">
        <f aca="false">Datos_Semanales!C25</f>
        <v>CREMA</v>
      </c>
      <c r="D25" s="23" t="n">
        <f aca="false">SUM(Datos_Semanales!F25:K25)</f>
        <v>110100</v>
      </c>
      <c r="E25" s="23" t="n">
        <f aca="false">AVERAGE(Datos_Semanales!F25:K25)</f>
        <v>18350</v>
      </c>
      <c r="F25" s="23" t="n">
        <f aca="false">STDEV(Datos_Semanales!F25:K25)</f>
        <v>5186.97646032831</v>
      </c>
      <c r="G25" s="27" t="n">
        <f aca="false">IF(E25&gt;0,F25/E25,"")</f>
        <v>0.282669016911625</v>
      </c>
      <c r="H25" s="24" t="n">
        <f aca="false">IF(SUM($D$5:$D$137)&gt;0,D25/SUM($D$5:$D$137),0)</f>
        <v>0.00997766620402829</v>
      </c>
      <c r="I25" s="24" t="n">
        <f aca="false">SUMIF($D$5:$D$137,"&gt;="&amp;D25)/SUM($D$5:$D$137)</f>
        <v>0.771516650257665</v>
      </c>
      <c r="J25" s="3" t="str">
        <f aca="false">IF(D25&lt;=0,"C",IF(I25&lt;=Parametros!$B$4,"A",IF(I25&lt;=Parametros!$B$5,"B","C")))</f>
        <v>A</v>
      </c>
      <c r="K25" s="3" t="str">
        <f aca="false">IF(E25&lt;=0,"Z",IF(G25&lt;=Parametros!$B$6,"X",IF(G25&lt;=Parametros!$B$7,"Y","Z")))</f>
        <v>X</v>
      </c>
      <c r="L25" s="3" t="str">
        <f aca="false">J25&amp;K25</f>
        <v>AX</v>
      </c>
      <c r="M25" s="3" t="str">
        <f aca="false">INDEX(Parametros!$B$23:$B$31,MATCH(L25,Parametros!$A$23:$A$31,0))</f>
        <v>Forecast estadístico casi automático. Ajustes mínimos. SS bajo porque la demanda es estable.</v>
      </c>
      <c r="N25" s="3" t="str">
        <f aca="false">INDEX(Parametros!$C$23:$C$31,MATCH(L25,Parametros!$A$23:$A$31,0))</f>
        <v>Mensual</v>
      </c>
      <c r="O25" s="23" t="n">
        <f aca="false">SUM(Datos_Semanales!M25:R25)</f>
        <v>112559.844472687</v>
      </c>
      <c r="P25" s="24" t="n">
        <f aca="false">IF(D25&gt;0,SUMPRODUCT(ABS(Datos_Semanales!F25:K25-Datos_Semanales!M25:R25))/D25,"")</f>
        <v>0.389393501114323</v>
      </c>
      <c r="Q25" s="24" t="n">
        <f aca="false">IF(D25&gt;0,O25/D25-1,"")</f>
        <v>0.0223419116501997</v>
      </c>
      <c r="R25" s="23" t="n">
        <f aca="false">SQRT(SUMXMY2(Datos_Semanales!F25:K25,Datos_Semanales!M25:R25)/COUNT(Datos_Semanales!F25:K25))</f>
        <v>7743.98218960086</v>
      </c>
    </row>
    <row r="26" customFormat="false" ht="15" hidden="false" customHeight="false" outlineLevel="0" collapsed="false">
      <c r="A26" s="18" t="n">
        <f aca="false">Datos_Semanales!A26</f>
        <v>30001409</v>
      </c>
      <c r="B26" s="18" t="str">
        <f aca="false">Datos_Semanales!B26</f>
        <v>LECHE POLVO CALO 26% INST 20X850GR</v>
      </c>
      <c r="C26" s="18" t="str">
        <f aca="false">Datos_Semanales!C26</f>
        <v>LECHES EN POLVO</v>
      </c>
      <c r="D26" s="23" t="n">
        <f aca="false">SUM(Datos_Semanales!F26:K26)</f>
        <v>89896</v>
      </c>
      <c r="E26" s="23" t="n">
        <f aca="false">AVERAGE(Datos_Semanales!F26:K26)</f>
        <v>14982.6666666667</v>
      </c>
      <c r="F26" s="23" t="n">
        <f aca="false">STDEV(Datos_Semanales!F26:K26)</f>
        <v>2982.86142263878</v>
      </c>
      <c r="G26" s="27" t="n">
        <f aca="false">IF(E26&gt;0,F26/E26,"")</f>
        <v>0.19908748482505</v>
      </c>
      <c r="H26" s="24" t="n">
        <f aca="false">IF(SUM($D$5:$D$137)&gt;0,D26/SUM($D$5:$D$137),0)</f>
        <v>0.00814670555020279</v>
      </c>
      <c r="I26" s="24" t="n">
        <f aca="false">SUMIF($D$5:$D$137,"&gt;="&amp;D26)/SUM($D$5:$D$137)</f>
        <v>0.779663355807868</v>
      </c>
      <c r="J26" s="3" t="str">
        <f aca="false">IF(D26&lt;=0,"C",IF(I26&lt;=Parametros!$B$4,"A",IF(I26&lt;=Parametros!$B$5,"B","C")))</f>
        <v>A</v>
      </c>
      <c r="K26" s="3" t="str">
        <f aca="false">IF(E26&lt;=0,"Z",IF(G26&lt;=Parametros!$B$6,"X",IF(G26&lt;=Parametros!$B$7,"Y","Z")))</f>
        <v>X</v>
      </c>
      <c r="L26" s="3" t="str">
        <f aca="false">J26&amp;K26</f>
        <v>AX</v>
      </c>
      <c r="M26" s="3" t="str">
        <f aca="false">INDEX(Parametros!$B$23:$B$31,MATCH(L26,Parametros!$A$23:$A$31,0))</f>
        <v>Forecast estadístico casi automático. Ajustes mínimos. SS bajo porque la demanda es estable.</v>
      </c>
      <c r="N26" s="3" t="str">
        <f aca="false">INDEX(Parametros!$C$23:$C$31,MATCH(L26,Parametros!$A$23:$A$31,0))</f>
        <v>Mensual</v>
      </c>
      <c r="O26" s="23" t="n">
        <f aca="false">SUM(Datos_Semanales!M26:R26)</f>
        <v>106500.322482384</v>
      </c>
      <c r="P26" s="24" t="n">
        <f aca="false">IF(D26&gt;0,SUMPRODUCT(ABS(Datos_Semanales!F26:K26-Datos_Semanales!M26:R26))/D26,"")</f>
        <v>0.197029350778851</v>
      </c>
      <c r="Q26" s="24" t="n">
        <f aca="false">IF(D26&gt;0,O26/D26-1,"")</f>
        <v>0.1847059099669</v>
      </c>
      <c r="R26" s="23" t="n">
        <f aca="false">SQRT(SUMXMY2(Datos_Semanales!F26:K26,Datos_Semanales!M26:R26)/COUNT(Datos_Semanales!F26:K26))</f>
        <v>4170.70595117852</v>
      </c>
    </row>
    <row r="27" customFormat="false" ht="15" hidden="false" customHeight="false" outlineLevel="0" collapsed="false">
      <c r="A27" s="18" t="n">
        <f aca="false">Datos_Semanales!A27</f>
        <v>30000254</v>
      </c>
      <c r="B27" s="18" t="str">
        <f aca="false">Datos_Semanales!B27</f>
        <v>NECTAR W NJA LIG SIXPACK 30X200ML</v>
      </c>
      <c r="C27" s="18" t="str">
        <f aca="false">Datos_Semanales!C27</f>
        <v>JUGOS Y NECTARES</v>
      </c>
      <c r="D27" s="23" t="n">
        <f aca="false">SUM(Datos_Semanales!F27:K27)</f>
        <v>87222</v>
      </c>
      <c r="E27" s="23" t="n">
        <f aca="false">AVERAGE(Datos_Semanales!F27:K27)</f>
        <v>14537</v>
      </c>
      <c r="F27" s="23" t="n">
        <f aca="false">STDEV(Datos_Semanales!F27:K27)</f>
        <v>5994.94517072508</v>
      </c>
      <c r="G27" s="27" t="n">
        <f aca="false">IF(E27&gt;0,F27/E27,"")</f>
        <v>0.412392183443976</v>
      </c>
      <c r="H27" s="24" t="n">
        <f aca="false">IF(SUM($D$5:$D$137)&gt;0,D27/SUM($D$5:$D$137),0)</f>
        <v>0.00790437785329478</v>
      </c>
      <c r="I27" s="24" t="n">
        <f aca="false">SUMIF($D$5:$D$137,"&gt;="&amp;D27)/SUM($D$5:$D$137)</f>
        <v>0.787567733661163</v>
      </c>
      <c r="J27" s="3" t="str">
        <f aca="false">IF(D27&lt;=0,"C",IF(I27&lt;=Parametros!$B$4,"A",IF(I27&lt;=Parametros!$B$5,"B","C")))</f>
        <v>A</v>
      </c>
      <c r="K27" s="3" t="str">
        <f aca="false">IF(E27&lt;=0,"Z",IF(G27&lt;=Parametros!$B$6,"X",IF(G27&lt;=Parametros!$B$7,"Y","Z")))</f>
        <v>X</v>
      </c>
      <c r="L27" s="3" t="str">
        <f aca="false">J27&amp;K27</f>
        <v>AX</v>
      </c>
      <c r="M27" s="3" t="str">
        <f aca="false">INDEX(Parametros!$B$23:$B$31,MATCH(L27,Parametros!$A$23:$A$31,0))</f>
        <v>Forecast estadístico casi automático. Ajustes mínimos. SS bajo porque la demanda es estable.</v>
      </c>
      <c r="N27" s="3" t="str">
        <f aca="false">INDEX(Parametros!$C$23:$C$31,MATCH(L27,Parametros!$A$23:$A$31,0))</f>
        <v>Mensual</v>
      </c>
      <c r="O27" s="23" t="n">
        <f aca="false">SUM(Datos_Semanales!M27:R27)</f>
        <v>85561.897885074</v>
      </c>
      <c r="P27" s="24" t="n">
        <f aca="false">IF(D27&gt;0,SUMPRODUCT(ABS(Datos_Semanales!F27:K27-Datos_Semanales!M27:R27))/D27,"")</f>
        <v>0.260953581836303</v>
      </c>
      <c r="Q27" s="24" t="n">
        <f aca="false">IF(D27&gt;0,O27/D27-1,"")</f>
        <v>-0.0190330663700213</v>
      </c>
      <c r="R27" s="23" t="n">
        <f aca="false">SQRT(SUMXMY2(Datos_Semanales!F27:K27,Datos_Semanales!M27:R27)/COUNT(Datos_Semanales!F27:K27))</f>
        <v>5634.41803113202</v>
      </c>
    </row>
    <row r="28" customFormat="false" ht="15" hidden="false" customHeight="false" outlineLevel="0" collapsed="false">
      <c r="A28" s="18" t="n">
        <f aca="false">Datos_Semanales!A28</f>
        <v>30001684</v>
      </c>
      <c r="B28" s="18" t="str">
        <f aca="false">Datos_Semanales!B28</f>
        <v>NECTAR W DZNO S/AZUCAR 30X200ML</v>
      </c>
      <c r="C28" s="18" t="str">
        <f aca="false">Datos_Semanales!C28</f>
        <v>JUGOS Y NECTARES</v>
      </c>
      <c r="D28" s="23" t="n">
        <f aca="false">SUM(Datos_Semanales!F28:K28)</f>
        <v>83634</v>
      </c>
      <c r="E28" s="23" t="n">
        <f aca="false">AVERAGE(Datos_Semanales!F28:K28)</f>
        <v>13939</v>
      </c>
      <c r="F28" s="23" t="n">
        <f aca="false">STDEV(Datos_Semanales!F28:K28)</f>
        <v>3619.46023600205</v>
      </c>
      <c r="G28" s="27" t="n">
        <f aca="false">IF(E28&gt;0,F28/E28,"")</f>
        <v>0.259664268312078</v>
      </c>
      <c r="H28" s="24" t="n">
        <f aca="false">IF(SUM($D$5:$D$137)&gt;0,D28/SUM($D$5:$D$137),0)</f>
        <v>0.00757922012086923</v>
      </c>
      <c r="I28" s="24" t="n">
        <f aca="false">SUMIF($D$5:$D$137,"&gt;="&amp;D28)/SUM($D$5:$D$137)</f>
        <v>0.795146953782032</v>
      </c>
      <c r="J28" s="3" t="str">
        <f aca="false">IF(D28&lt;=0,"C",IF(I28&lt;=Parametros!$B$4,"A",IF(I28&lt;=Parametros!$B$5,"B","C")))</f>
        <v>A</v>
      </c>
      <c r="K28" s="3" t="str">
        <f aca="false">IF(E28&lt;=0,"Z",IF(G28&lt;=Parametros!$B$6,"X",IF(G28&lt;=Parametros!$B$7,"Y","Z")))</f>
        <v>X</v>
      </c>
      <c r="L28" s="3" t="str">
        <f aca="false">J28&amp;K28</f>
        <v>AX</v>
      </c>
      <c r="M28" s="3" t="str">
        <f aca="false">INDEX(Parametros!$B$23:$B$31,MATCH(L28,Parametros!$A$23:$A$31,0))</f>
        <v>Forecast estadístico casi automático. Ajustes mínimos. SS bajo porque la demanda es estable.</v>
      </c>
      <c r="N28" s="3" t="str">
        <f aca="false">INDEX(Parametros!$C$23:$C$31,MATCH(L28,Parametros!$A$23:$A$31,0))</f>
        <v>Mensual</v>
      </c>
      <c r="O28" s="23" t="n">
        <f aca="false">SUM(Datos_Semanales!M28:R28)</f>
        <v>91364.7470800718</v>
      </c>
      <c r="P28" s="24" t="n">
        <f aca="false">IF(D28&gt;0,SUMPRODUCT(ABS(Datos_Semanales!F28:K28-Datos_Semanales!M28:R28))/D28,"")</f>
        <v>0.200477641629861</v>
      </c>
      <c r="Q28" s="24" t="n">
        <f aca="false">IF(D28&gt;0,O28/D28-1,"")</f>
        <v>0.0924354578290145</v>
      </c>
      <c r="R28" s="23" t="n">
        <f aca="false">SQRT(SUMXMY2(Datos_Semanales!F28:K28,Datos_Semanales!M28:R28)/COUNT(Datos_Semanales!F28:K28))</f>
        <v>3254.77886393612</v>
      </c>
    </row>
    <row r="29" customFormat="false" ht="15" hidden="false" customHeight="false" outlineLevel="0" collapsed="false">
      <c r="A29" s="18" t="n">
        <f aca="false">Datos_Semanales!A29</f>
        <v>30002330</v>
      </c>
      <c r="B29" s="18" t="str">
        <f aca="false">Datos_Semanales!B29</f>
        <v>LECHE LONCO PROTEIN CHOCOLATE 30X200ML</v>
      </c>
      <c r="C29" s="18" t="str">
        <f aca="false">Datos_Semanales!C29</f>
        <v>LECHES LIQUIDAS</v>
      </c>
      <c r="D29" s="23" t="n">
        <f aca="false">SUM(Datos_Semanales!F29:K29)</f>
        <v>82662</v>
      </c>
      <c r="E29" s="23" t="n">
        <f aca="false">AVERAGE(Datos_Semanales!F29:K29)</f>
        <v>13777</v>
      </c>
      <c r="F29" s="23" t="n">
        <f aca="false">STDEV(Datos_Semanales!F29:K29)</f>
        <v>5334.47500697116</v>
      </c>
      <c r="G29" s="27" t="n">
        <f aca="false">IF(E29&gt;0,F29/E29,"")</f>
        <v>0.3872014957517</v>
      </c>
      <c r="H29" s="24" t="n">
        <f aca="false">IF(SUM($D$5:$D$137)&gt;0,D29/SUM($D$5:$D$137),0)</f>
        <v>0.0074911339124195</v>
      </c>
      <c r="I29" s="24" t="n">
        <f aca="false">SUMIF($D$5:$D$137,"&gt;="&amp;D29)/SUM($D$5:$D$137)</f>
        <v>0.802638087694451</v>
      </c>
      <c r="J29" s="3" t="str">
        <f aca="false">IF(D29&lt;=0,"C",IF(I29&lt;=Parametros!$B$4,"A",IF(I29&lt;=Parametros!$B$5,"B","C")))</f>
        <v>B</v>
      </c>
      <c r="K29" s="3" t="str">
        <f aca="false">IF(E29&lt;=0,"Z",IF(G29&lt;=Parametros!$B$6,"X",IF(G29&lt;=Parametros!$B$7,"Y","Z")))</f>
        <v>X</v>
      </c>
      <c r="L29" s="3" t="str">
        <f aca="false">J29&amp;K29</f>
        <v>BX</v>
      </c>
      <c r="M29" s="3" t="str">
        <f aca="false">INDEX(Parametros!$B$23:$B$31,MATCH(L29,Parametros!$A$23:$A$31,0))</f>
        <v>Estadístico + revisión de tendencia.</v>
      </c>
      <c r="N29" s="3" t="str">
        <f aca="false">INDEX(Parametros!$C$23:$C$31,MATCH(L29,Parametros!$A$23:$A$31,0))</f>
        <v>Mensual</v>
      </c>
      <c r="O29" s="23" t="n">
        <f aca="false">SUM(Datos_Semanales!M29:R29)</f>
        <v>59433.7276297603</v>
      </c>
      <c r="P29" s="24" t="n">
        <f aca="false">IF(D29&gt;0,SUMPRODUCT(ABS(Datos_Semanales!F29:K29-Datos_Semanales!M29:R29))/D29,"")</f>
        <v>0.37017889271685</v>
      </c>
      <c r="Q29" s="24" t="n">
        <f aca="false">IF(D29&gt;0,O29/D29-1,"")</f>
        <v>-0.281003028843238</v>
      </c>
      <c r="R29" s="23" t="n">
        <f aca="false">SQRT(SUMXMY2(Datos_Semanales!F29:K29,Datos_Semanales!M29:R29)/COUNT(Datos_Semanales!F29:K29))</f>
        <v>6164.80235099199</v>
      </c>
    </row>
    <row r="30" customFormat="false" ht="15" hidden="false" customHeight="false" outlineLevel="0" collapsed="false">
      <c r="A30" s="18" t="n">
        <f aca="false">Datos_Semanales!A30</f>
        <v>30000516</v>
      </c>
      <c r="B30" s="18" t="str">
        <f aca="false">Datos_Semanales!B30</f>
        <v>LONCO PROTEINMILK CHOCO 12X1LT</v>
      </c>
      <c r="C30" s="18" t="str">
        <f aca="false">Datos_Semanales!C30</f>
        <v>LECHES LIQUIDAS</v>
      </c>
      <c r="D30" s="23" t="n">
        <f aca="false">SUM(Datos_Semanales!F30:K30)</f>
        <v>76896</v>
      </c>
      <c r="E30" s="23" t="n">
        <f aca="false">AVERAGE(Datos_Semanales!F30:K30)</f>
        <v>12816</v>
      </c>
      <c r="F30" s="23" t="n">
        <f aca="false">STDEV(Datos_Semanales!F30:K30)</f>
        <v>1721.43753880296</v>
      </c>
      <c r="G30" s="27" t="n">
        <f aca="false">IF(E30&gt;0,F30/E30,"")</f>
        <v>0.134319408458408</v>
      </c>
      <c r="H30" s="24" t="n">
        <f aca="false">IF(SUM($D$5:$D$137)&gt;0,D30/SUM($D$5:$D$137),0)</f>
        <v>0.00696859782402325</v>
      </c>
      <c r="I30" s="24" t="n">
        <f aca="false">SUMIF($D$5:$D$137,"&gt;="&amp;D30)/SUM($D$5:$D$137)</f>
        <v>0.809606685518475</v>
      </c>
      <c r="J30" s="3" t="str">
        <f aca="false">IF(D30&lt;=0,"C",IF(I30&lt;=Parametros!$B$4,"A",IF(I30&lt;=Parametros!$B$5,"B","C")))</f>
        <v>B</v>
      </c>
      <c r="K30" s="3" t="str">
        <f aca="false">IF(E30&lt;=0,"Z",IF(G30&lt;=Parametros!$B$6,"X",IF(G30&lt;=Parametros!$B$7,"Y","Z")))</f>
        <v>X</v>
      </c>
      <c r="L30" s="3" t="str">
        <f aca="false">J30&amp;K30</f>
        <v>BX</v>
      </c>
      <c r="M30" s="3" t="str">
        <f aca="false">INDEX(Parametros!$B$23:$B$31,MATCH(L30,Parametros!$A$23:$A$31,0))</f>
        <v>Estadístico + revisión de tendencia.</v>
      </c>
      <c r="N30" s="3" t="str">
        <f aca="false">INDEX(Parametros!$C$23:$C$31,MATCH(L30,Parametros!$A$23:$A$31,0))</f>
        <v>Mensual</v>
      </c>
      <c r="O30" s="23" t="n">
        <f aca="false">SUM(Datos_Semanales!M30:R30)</f>
        <v>83687.7659017021</v>
      </c>
      <c r="P30" s="24" t="n">
        <f aca="false">IF(D30&gt;0,SUMPRODUCT(ABS(Datos_Semanales!F30:K30-Datos_Semanales!M30:R30))/D30,"")</f>
        <v>0.203794552404574</v>
      </c>
      <c r="Q30" s="24" t="n">
        <f aca="false">IF(D30&gt;0,O30/D30-1,"")</f>
        <v>0.088324046786596</v>
      </c>
      <c r="R30" s="23" t="n">
        <f aca="false">SQRT(SUMXMY2(Datos_Semanales!F30:K30,Datos_Semanales!M30:R30)/COUNT(Datos_Semanales!F30:K30))</f>
        <v>2895.61257519175</v>
      </c>
    </row>
    <row r="31" customFormat="false" ht="15" hidden="false" customHeight="false" outlineLevel="0" collapsed="false">
      <c r="A31" s="18" t="n">
        <f aca="false">Datos_Semanales!A31</f>
        <v>30002177</v>
      </c>
      <c r="B31" s="18" t="str">
        <f aca="false">Datos_Semanales!B31</f>
        <v>MANJAR LONCOLECHE BOLSA 10X920GR</v>
      </c>
      <c r="C31" s="18" t="str">
        <f aca="false">Datos_Semanales!C31</f>
        <v>MANJAR</v>
      </c>
      <c r="D31" s="23" t="n">
        <f aca="false">SUM(Datos_Semanales!F31:K31)</f>
        <v>73774.8</v>
      </c>
      <c r="E31" s="23" t="n">
        <f aca="false">AVERAGE(Datos_Semanales!F31:K31)</f>
        <v>12295.8</v>
      </c>
      <c r="F31" s="23" t="n">
        <f aca="false">STDEV(Datos_Semanales!F31:K31)</f>
        <v>3153.50851972846</v>
      </c>
      <c r="G31" s="27" t="n">
        <f aca="false">IF(E31&gt;0,F31/E31,"")</f>
        <v>0.256470381734288</v>
      </c>
      <c r="H31" s="24" t="n">
        <f aca="false">IF(SUM($D$5:$D$137)&gt;0,D31/SUM($D$5:$D$137),0)</f>
        <v>0.00668574322133466</v>
      </c>
      <c r="I31" s="24" t="n">
        <f aca="false">SUMIF($D$5:$D$137,"&gt;="&amp;D31)/SUM($D$5:$D$137)</f>
        <v>0.816292428739809</v>
      </c>
      <c r="J31" s="3" t="str">
        <f aca="false">IF(D31&lt;=0,"C",IF(I31&lt;=Parametros!$B$4,"A",IF(I31&lt;=Parametros!$B$5,"B","C")))</f>
        <v>B</v>
      </c>
      <c r="K31" s="3" t="str">
        <f aca="false">IF(E31&lt;=0,"Z",IF(G31&lt;=Parametros!$B$6,"X",IF(G31&lt;=Parametros!$B$7,"Y","Z")))</f>
        <v>X</v>
      </c>
      <c r="L31" s="3" t="str">
        <f aca="false">J31&amp;K31</f>
        <v>BX</v>
      </c>
      <c r="M31" s="3" t="str">
        <f aca="false">INDEX(Parametros!$B$23:$B$31,MATCH(L31,Parametros!$A$23:$A$31,0))</f>
        <v>Estadístico + revisión de tendencia.</v>
      </c>
      <c r="N31" s="3" t="str">
        <f aca="false">INDEX(Parametros!$C$23:$C$31,MATCH(L31,Parametros!$A$23:$A$31,0))</f>
        <v>Mensual</v>
      </c>
      <c r="O31" s="23" t="n">
        <f aca="false">SUM(Datos_Semanales!M31:R31)</f>
        <v>83918.7982926306</v>
      </c>
      <c r="P31" s="24" t="n">
        <f aca="false">IF(D31&gt;0,SUMPRODUCT(ABS(Datos_Semanales!F31:K31-Datos_Semanales!M31:R31))/D31,"")</f>
        <v>0.233380480768915</v>
      </c>
      <c r="Q31" s="24" t="n">
        <f aca="false">IF(D31&gt;0,O31/D31-1,"")</f>
        <v>0.137499502440272</v>
      </c>
      <c r="R31" s="23" t="n">
        <f aca="false">SQRT(SUMXMY2(Datos_Semanales!F31:K31,Datos_Semanales!M31:R31)/COUNT(Datos_Semanales!F31:K31))</f>
        <v>3625.64310127906</v>
      </c>
    </row>
    <row r="32" customFormat="false" ht="15" hidden="false" customHeight="false" outlineLevel="0" collapsed="false">
      <c r="A32" s="18" t="n">
        <f aca="false">Datos_Semanales!A32</f>
        <v>30000206</v>
      </c>
      <c r="B32" s="18" t="str">
        <f aca="false">Datos_Semanales!B32</f>
        <v>NECTAR WATTS MZNA LIGHT 30X200ML</v>
      </c>
      <c r="C32" s="18" t="str">
        <f aca="false">Datos_Semanales!C32</f>
        <v>JUGOS Y NECTARES</v>
      </c>
      <c r="D32" s="23" t="n">
        <f aca="false">SUM(Datos_Semanales!F32:K32)</f>
        <v>72228</v>
      </c>
      <c r="E32" s="23" t="n">
        <f aca="false">AVERAGE(Datos_Semanales!F32:K32)</f>
        <v>12038</v>
      </c>
      <c r="F32" s="23" t="n">
        <f aca="false">STDEV(Datos_Semanales!F32:K32)</f>
        <v>3439.62928235006</v>
      </c>
      <c r="G32" s="27" t="n">
        <f aca="false">IF(E32&gt;0,F32/E32,"")</f>
        <v>0.285730958826222</v>
      </c>
      <c r="H32" s="24" t="n">
        <f aca="false">IF(SUM($D$5:$D$137)&gt;0,D32/SUM($D$5:$D$137),0)</f>
        <v>0.00654556652665355</v>
      </c>
      <c r="I32" s="24" t="n">
        <f aca="false">SUMIF($D$5:$D$137,"&gt;="&amp;D32)/SUM($D$5:$D$137)</f>
        <v>0.822837995266463</v>
      </c>
      <c r="J32" s="3" t="str">
        <f aca="false">IF(D32&lt;=0,"C",IF(I32&lt;=Parametros!$B$4,"A",IF(I32&lt;=Parametros!$B$5,"B","C")))</f>
        <v>B</v>
      </c>
      <c r="K32" s="3" t="str">
        <f aca="false">IF(E32&lt;=0,"Z",IF(G32&lt;=Parametros!$B$6,"X",IF(G32&lt;=Parametros!$B$7,"Y","Z")))</f>
        <v>X</v>
      </c>
      <c r="L32" s="3" t="str">
        <f aca="false">J32&amp;K32</f>
        <v>BX</v>
      </c>
      <c r="M32" s="3" t="str">
        <f aca="false">INDEX(Parametros!$B$23:$B$31,MATCH(L32,Parametros!$A$23:$A$31,0))</f>
        <v>Estadístico + revisión de tendencia.</v>
      </c>
      <c r="N32" s="3" t="str">
        <f aca="false">INDEX(Parametros!$C$23:$C$31,MATCH(L32,Parametros!$A$23:$A$31,0))</f>
        <v>Mensual</v>
      </c>
      <c r="O32" s="23" t="n">
        <f aca="false">SUM(Datos_Semanales!M32:R32)</f>
        <v>74903.22746998</v>
      </c>
      <c r="P32" s="24" t="n">
        <f aca="false">IF(D32&gt;0,SUMPRODUCT(ABS(Datos_Semanales!F32:K32-Datos_Semanales!M32:R32))/D32,"")</f>
        <v>0.17167979550839</v>
      </c>
      <c r="Q32" s="24" t="n">
        <f aca="false">IF(D32&gt;0,O32/D32-1,"")</f>
        <v>0.0370386480309575</v>
      </c>
      <c r="R32" s="23" t="n">
        <f aca="false">SQRT(SUMXMY2(Datos_Semanales!F32:K32,Datos_Semanales!M32:R32)/COUNT(Datos_Semanales!F32:K32))</f>
        <v>2654.09041869515</v>
      </c>
    </row>
    <row r="33" customFormat="false" ht="15" hidden="false" customHeight="false" outlineLevel="0" collapsed="false">
      <c r="A33" s="18" t="n">
        <f aca="false">Datos_Semanales!A33</f>
        <v>30000300</v>
      </c>
      <c r="B33" s="18" t="str">
        <f aca="false">Datos_Semanales!B33</f>
        <v>LECHE PLATANO LONCO 30X200ML</v>
      </c>
      <c r="C33" s="18" t="str">
        <f aca="false">Datos_Semanales!C33</f>
        <v>LECHES LIQUIDAS</v>
      </c>
      <c r="D33" s="23" t="n">
        <f aca="false">SUM(Datos_Semanales!F33:K33)</f>
        <v>69996</v>
      </c>
      <c r="E33" s="23" t="n">
        <f aca="false">AVERAGE(Datos_Semanales!F33:K33)</f>
        <v>11666</v>
      </c>
      <c r="F33" s="23" t="n">
        <f aca="false">STDEV(Datos_Semanales!F33:K33)</f>
        <v>3104.59891129273</v>
      </c>
      <c r="G33" s="27" t="n">
        <f aca="false">IF(E33&gt;0,F33/E33,"")</f>
        <v>0.26612368517853</v>
      </c>
      <c r="H33" s="24" t="n">
        <f aca="false">IF(SUM($D$5:$D$137)&gt;0,D33/SUM($D$5:$D$137),0)</f>
        <v>0.00634329449243564</v>
      </c>
      <c r="I33" s="24" t="n">
        <f aca="false">SUMIF($D$5:$D$137,"&gt;="&amp;D33)/SUM($D$5:$D$137)</f>
        <v>0.829181289758899</v>
      </c>
      <c r="J33" s="3" t="str">
        <f aca="false">IF(D33&lt;=0,"C",IF(I33&lt;=Parametros!$B$4,"A",IF(I33&lt;=Parametros!$B$5,"B","C")))</f>
        <v>B</v>
      </c>
      <c r="K33" s="3" t="str">
        <f aca="false">IF(E33&lt;=0,"Z",IF(G33&lt;=Parametros!$B$6,"X",IF(G33&lt;=Parametros!$B$7,"Y","Z")))</f>
        <v>X</v>
      </c>
      <c r="L33" s="3" t="str">
        <f aca="false">J33&amp;K33</f>
        <v>BX</v>
      </c>
      <c r="M33" s="3" t="str">
        <f aca="false">INDEX(Parametros!$B$23:$B$31,MATCH(L33,Parametros!$A$23:$A$31,0))</f>
        <v>Estadístico + revisión de tendencia.</v>
      </c>
      <c r="N33" s="3" t="str">
        <f aca="false">INDEX(Parametros!$C$23:$C$31,MATCH(L33,Parametros!$A$23:$A$31,0))</f>
        <v>Mensual</v>
      </c>
      <c r="O33" s="23" t="n">
        <f aca="false">SUM(Datos_Semanales!M33:R33)</f>
        <v>57950.7305531949</v>
      </c>
      <c r="P33" s="24" t="n">
        <f aca="false">IF(D33&gt;0,SUMPRODUCT(ABS(Datos_Semanales!F33:K33-Datos_Semanales!M33:R33))/D33,"")</f>
        <v>0.252344373584007</v>
      </c>
      <c r="Q33" s="24" t="n">
        <f aca="false">IF(D33&gt;0,O33/D33-1,"")</f>
        <v>-0.172085111246429</v>
      </c>
      <c r="R33" s="23" t="n">
        <f aca="false">SQRT(SUMXMY2(Datos_Semanales!F33:K33,Datos_Semanales!M33:R33)/COUNT(Datos_Semanales!F33:K33))</f>
        <v>3980.09967834701</v>
      </c>
    </row>
    <row r="34" customFormat="false" ht="15" hidden="false" customHeight="false" outlineLevel="0" collapsed="false">
      <c r="A34" s="18" t="n">
        <f aca="false">Datos_Semanales!A34</f>
        <v>30001977</v>
      </c>
      <c r="B34" s="18" t="str">
        <f aca="false">Datos_Semanales!B34</f>
        <v>BEBIDA LONCOLECHE VEGETAL ALMENDRA 6X1LT</v>
      </c>
      <c r="C34" s="18" t="str">
        <f aca="false">Datos_Semanales!C34</f>
        <v>LECHES LIQUIDAS</v>
      </c>
      <c r="D34" s="23" t="n">
        <f aca="false">SUM(Datos_Semanales!F34:K34)</f>
        <v>69702</v>
      </c>
      <c r="E34" s="23" t="n">
        <f aca="false">AVERAGE(Datos_Semanales!F34:K34)</f>
        <v>11617</v>
      </c>
      <c r="F34" s="23" t="n">
        <f aca="false">STDEV(Datos_Semanales!F34:K34)</f>
        <v>3571.66330999998</v>
      </c>
      <c r="G34" s="27" t="n">
        <f aca="false">IF(E34&gt;0,F34/E34,"")</f>
        <v>0.307451434105189</v>
      </c>
      <c r="H34" s="24" t="n">
        <f aca="false">IF(SUM($D$5:$D$137)&gt;0,D34/SUM($D$5:$D$137),0)</f>
        <v>0.00631665113308974</v>
      </c>
      <c r="I34" s="24" t="n">
        <f aca="false">SUMIF($D$5:$D$137,"&gt;="&amp;D34)/SUM($D$5:$D$137)</f>
        <v>0.835497940891988</v>
      </c>
      <c r="J34" s="3" t="str">
        <f aca="false">IF(D34&lt;=0,"C",IF(I34&lt;=Parametros!$B$4,"A",IF(I34&lt;=Parametros!$B$5,"B","C")))</f>
        <v>B</v>
      </c>
      <c r="K34" s="3" t="str">
        <f aca="false">IF(E34&lt;=0,"Z",IF(G34&lt;=Parametros!$B$6,"X",IF(G34&lt;=Parametros!$B$7,"Y","Z")))</f>
        <v>X</v>
      </c>
      <c r="L34" s="3" t="str">
        <f aca="false">J34&amp;K34</f>
        <v>BX</v>
      </c>
      <c r="M34" s="3" t="str">
        <f aca="false">INDEX(Parametros!$B$23:$B$31,MATCH(L34,Parametros!$A$23:$A$31,0))</f>
        <v>Estadístico + revisión de tendencia.</v>
      </c>
      <c r="N34" s="3" t="str">
        <f aca="false">INDEX(Parametros!$C$23:$C$31,MATCH(L34,Parametros!$A$23:$A$31,0))</f>
        <v>Mensual</v>
      </c>
      <c r="O34" s="23" t="n">
        <f aca="false">SUM(Datos_Semanales!M34:R34)</f>
        <v>57313.8953411194</v>
      </c>
      <c r="P34" s="24" t="n">
        <f aca="false">IF(D34&gt;0,SUMPRODUCT(ABS(Datos_Semanales!F34:K34-Datos_Semanales!M34:R34))/D34,"")</f>
        <v>0.419723613972617</v>
      </c>
      <c r="Q34" s="24" t="n">
        <f aca="false">IF(D34&gt;0,O34/D34-1,"")</f>
        <v>-0.177729543755999</v>
      </c>
      <c r="R34" s="23" t="n">
        <f aca="false">SQRT(SUMXMY2(Datos_Semanales!F34:K34,Datos_Semanales!M34:R34)/COUNT(Datos_Semanales!F34:K34))</f>
        <v>5754.82962064391</v>
      </c>
    </row>
    <row r="35" customFormat="false" ht="15" hidden="false" customHeight="false" outlineLevel="0" collapsed="false">
      <c r="A35" s="18" t="n">
        <f aca="false">Datos_Semanales!A35</f>
        <v>30000398</v>
      </c>
      <c r="B35" s="18" t="str">
        <f aca="false">Datos_Semanales!B35</f>
        <v>LECHE S/LACT CHOC LONCO 30X200ML</v>
      </c>
      <c r="C35" s="18" t="str">
        <f aca="false">Datos_Semanales!C35</f>
        <v>LECHES LIQUIDAS</v>
      </c>
      <c r="D35" s="23" t="n">
        <f aca="false">SUM(Datos_Semanales!F35:K35)</f>
        <v>66624</v>
      </c>
      <c r="E35" s="23" t="n">
        <f aca="false">AVERAGE(Datos_Semanales!F35:K35)</f>
        <v>11104</v>
      </c>
      <c r="F35" s="23" t="n">
        <f aca="false">STDEV(Datos_Semanales!F35:K35)</f>
        <v>1938.89948166479</v>
      </c>
      <c r="G35" s="27" t="n">
        <f aca="false">IF(E35&gt;0,F35/E35,"")</f>
        <v>0.174612705481339</v>
      </c>
      <c r="H35" s="24" t="n">
        <f aca="false">IF(SUM($D$5:$D$137)&gt;0,D35/SUM($D$5:$D$137),0)</f>
        <v>0.00603771147299892</v>
      </c>
      <c r="I35" s="24" t="n">
        <f aca="false">SUMIF($D$5:$D$137,"&gt;="&amp;D35)/SUM($D$5:$D$137)</f>
        <v>0.841535652364987</v>
      </c>
      <c r="J35" s="3" t="str">
        <f aca="false">IF(D35&lt;=0,"C",IF(I35&lt;=Parametros!$B$4,"A",IF(I35&lt;=Parametros!$B$5,"B","C")))</f>
        <v>B</v>
      </c>
      <c r="K35" s="3" t="str">
        <f aca="false">IF(E35&lt;=0,"Z",IF(G35&lt;=Parametros!$B$6,"X",IF(G35&lt;=Parametros!$B$7,"Y","Z")))</f>
        <v>X</v>
      </c>
      <c r="L35" s="3" t="str">
        <f aca="false">J35&amp;K35</f>
        <v>BX</v>
      </c>
      <c r="M35" s="3" t="str">
        <f aca="false">INDEX(Parametros!$B$23:$B$31,MATCH(L35,Parametros!$A$23:$A$31,0))</f>
        <v>Estadístico + revisión de tendencia.</v>
      </c>
      <c r="N35" s="3" t="str">
        <f aca="false">INDEX(Parametros!$C$23:$C$31,MATCH(L35,Parametros!$A$23:$A$31,0))</f>
        <v>Mensual</v>
      </c>
      <c r="O35" s="23" t="n">
        <f aca="false">SUM(Datos_Semanales!M35:R35)</f>
        <v>55669.817447751</v>
      </c>
      <c r="P35" s="24" t="n">
        <f aca="false">IF(D35&gt;0,SUMPRODUCT(ABS(Datos_Semanales!F35:K35-Datos_Semanales!M35:R35))/D35,"")</f>
        <v>0.221829271017186</v>
      </c>
      <c r="Q35" s="24" t="n">
        <f aca="false">IF(D35&gt;0,O35/D35-1,"")</f>
        <v>-0.164417965781835</v>
      </c>
      <c r="R35" s="23" t="n">
        <f aca="false">SQRT(SUMXMY2(Datos_Semanales!F35:K35,Datos_Semanales!M35:R35)/COUNT(Datos_Semanales!F35:K35))</f>
        <v>2886.73467880028</v>
      </c>
    </row>
    <row r="36" customFormat="false" ht="15" hidden="false" customHeight="false" outlineLevel="0" collapsed="false">
      <c r="A36" s="18" t="n">
        <f aca="false">Datos_Semanales!A36</f>
        <v>30000207</v>
      </c>
      <c r="B36" s="18" t="str">
        <f aca="false">Datos_Semanales!B36</f>
        <v>NECTAR WATTS PIÑA LIGHT 30X200ML</v>
      </c>
      <c r="C36" s="18" t="str">
        <f aca="false">Datos_Semanales!C36</f>
        <v>JUGOS Y NECTARES</v>
      </c>
      <c r="D36" s="23" t="n">
        <f aca="false">SUM(Datos_Semanales!F36:K36)</f>
        <v>59754</v>
      </c>
      <c r="E36" s="23" t="n">
        <f aca="false">AVERAGE(Datos_Semanales!F36:K36)</f>
        <v>9959</v>
      </c>
      <c r="F36" s="23" t="n">
        <f aca="false">STDEV(Datos_Semanales!F36:K36)</f>
        <v>2681.39031101405</v>
      </c>
      <c r="G36" s="27" t="n">
        <f aca="false">IF(E36&gt;0,F36/E36,"")</f>
        <v>0.269242927102525</v>
      </c>
      <c r="H36" s="24" t="n">
        <f aca="false">IF(SUM($D$5:$D$137)&gt;0,D36/SUM($D$5:$D$137),0)</f>
        <v>0.00541512685154865</v>
      </c>
      <c r="I36" s="24" t="n">
        <f aca="false">SUMIF($D$5:$D$137,"&gt;="&amp;D36)/SUM($D$5:$D$137)</f>
        <v>0.846950779216536</v>
      </c>
      <c r="J36" s="3" t="str">
        <f aca="false">IF(D36&lt;=0,"C",IF(I36&lt;=Parametros!$B$4,"A",IF(I36&lt;=Parametros!$B$5,"B","C")))</f>
        <v>B</v>
      </c>
      <c r="K36" s="3" t="str">
        <f aca="false">IF(E36&lt;=0,"Z",IF(G36&lt;=Parametros!$B$6,"X",IF(G36&lt;=Parametros!$B$7,"Y","Z")))</f>
        <v>X</v>
      </c>
      <c r="L36" s="3" t="str">
        <f aca="false">J36&amp;K36</f>
        <v>BX</v>
      </c>
      <c r="M36" s="3" t="str">
        <f aca="false">INDEX(Parametros!$B$23:$B$31,MATCH(L36,Parametros!$A$23:$A$31,0))</f>
        <v>Estadístico + revisión de tendencia.</v>
      </c>
      <c r="N36" s="3" t="str">
        <f aca="false">INDEX(Parametros!$C$23:$C$31,MATCH(L36,Parametros!$A$23:$A$31,0))</f>
        <v>Mensual</v>
      </c>
      <c r="O36" s="23" t="n">
        <f aca="false">SUM(Datos_Semanales!M36:R36)</f>
        <v>61367.8486582154</v>
      </c>
      <c r="P36" s="24" t="n">
        <f aca="false">IF(D36&gt;0,SUMPRODUCT(ABS(Datos_Semanales!F36:K36-Datos_Semanales!M36:R36))/D36,"")</f>
        <v>0.145032836058946</v>
      </c>
      <c r="Q36" s="24" t="n">
        <f aca="false">IF(D36&gt;0,O36/D36-1,"")</f>
        <v>0.0270082113032659</v>
      </c>
      <c r="R36" s="23" t="n">
        <f aca="false">SQRT(SUMXMY2(Datos_Semanales!F36:K36,Datos_Semanales!M36:R36)/COUNT(Datos_Semanales!F36:K36))</f>
        <v>1864.73129881278</v>
      </c>
    </row>
    <row r="37" customFormat="false" ht="15" hidden="false" customHeight="false" outlineLevel="0" collapsed="false">
      <c r="A37" s="18" t="n">
        <f aca="false">Datos_Semanales!A37</f>
        <v>30001404</v>
      </c>
      <c r="B37" s="18" t="str">
        <f aca="false">Datos_Semanales!B37</f>
        <v>BREAK CAPPUCCINO LONCO 18X250ML</v>
      </c>
      <c r="C37" s="18" t="str">
        <f aca="false">Datos_Semanales!C37</f>
        <v>LECHES LIQUIDAS</v>
      </c>
      <c r="D37" s="23" t="n">
        <f aca="false">SUM(Datos_Semanales!F37:K37)</f>
        <v>57663</v>
      </c>
      <c r="E37" s="23" t="n">
        <f aca="false">AVERAGE(Datos_Semanales!F37:K37)</f>
        <v>9610.5</v>
      </c>
      <c r="F37" s="23" t="n">
        <f aca="false">STDEV(Datos_Semanales!F37:K37)</f>
        <v>1004.57767245744</v>
      </c>
      <c r="G37" s="27" t="n">
        <f aca="false">IF(E37&gt;0,F37/E37,"")</f>
        <v>0.104529178758383</v>
      </c>
      <c r="H37" s="24" t="n">
        <f aca="false">IF(SUM($D$5:$D$137)&gt;0,D37/SUM($D$5:$D$137),0)</f>
        <v>0.00522563275497624</v>
      </c>
      <c r="I37" s="24" t="n">
        <f aca="false">SUMIF($D$5:$D$137,"&gt;="&amp;D37)/SUM($D$5:$D$137)</f>
        <v>0.852176411971512</v>
      </c>
      <c r="J37" s="3" t="str">
        <f aca="false">IF(D37&lt;=0,"C",IF(I37&lt;=Parametros!$B$4,"A",IF(I37&lt;=Parametros!$B$5,"B","C")))</f>
        <v>B</v>
      </c>
      <c r="K37" s="3" t="str">
        <f aca="false">IF(E37&lt;=0,"Z",IF(G37&lt;=Parametros!$B$6,"X",IF(G37&lt;=Parametros!$B$7,"Y","Z")))</f>
        <v>X</v>
      </c>
      <c r="L37" s="3" t="str">
        <f aca="false">J37&amp;K37</f>
        <v>BX</v>
      </c>
      <c r="M37" s="3" t="str">
        <f aca="false">INDEX(Parametros!$B$23:$B$31,MATCH(L37,Parametros!$A$23:$A$31,0))</f>
        <v>Estadístico + revisión de tendencia.</v>
      </c>
      <c r="N37" s="3" t="str">
        <f aca="false">INDEX(Parametros!$C$23:$C$31,MATCH(L37,Parametros!$A$23:$A$31,0))</f>
        <v>Mensual</v>
      </c>
      <c r="O37" s="23" t="n">
        <f aca="false">SUM(Datos_Semanales!M37:R37)</f>
        <v>51736.7881404969</v>
      </c>
      <c r="P37" s="24" t="n">
        <f aca="false">IF(D37&gt;0,SUMPRODUCT(ABS(Datos_Semanales!F37:K37-Datos_Semanales!M37:R37))/D37,"")</f>
        <v>0.144088789336369</v>
      </c>
      <c r="Q37" s="24" t="n">
        <f aca="false">IF(D37&gt;0,O37/D37-1,"")</f>
        <v>-0.102773214357613</v>
      </c>
      <c r="R37" s="23" t="n">
        <f aca="false">SQRT(SUMXMY2(Datos_Semanales!F37:K37,Datos_Semanales!M37:R37)/COUNT(Datos_Semanales!F37:K37))</f>
        <v>1608.13593429306</v>
      </c>
    </row>
    <row r="38" customFormat="false" ht="15" hidden="false" customHeight="false" outlineLevel="0" collapsed="false">
      <c r="A38" s="18" t="n">
        <f aca="false">Datos_Semanales!A38</f>
        <v>30000318</v>
      </c>
      <c r="B38" s="18" t="str">
        <f aca="false">Datos_Semanales!B38</f>
        <v>YOGU YOGU CHIRIMOYA 30X200GR</v>
      </c>
      <c r="C38" s="18" t="str">
        <f aca="false">Datos_Semanales!C38</f>
        <v>LECHES LIQUIDAS</v>
      </c>
      <c r="D38" s="23" t="n">
        <f aca="false">SUM(Datos_Semanales!F38:K38)</f>
        <v>57636</v>
      </c>
      <c r="E38" s="23" t="n">
        <f aca="false">AVERAGE(Datos_Semanales!F38:K38)</f>
        <v>9606</v>
      </c>
      <c r="F38" s="23" t="n">
        <f aca="false">STDEV(Datos_Semanales!F38:K38)</f>
        <v>1713.61932762209</v>
      </c>
      <c r="G38" s="27" t="n">
        <f aca="false">IF(E38&gt;0,F38/E38,"")</f>
        <v>0.178390519219456</v>
      </c>
      <c r="H38" s="24" t="n">
        <f aca="false">IF(SUM($D$5:$D$137)&gt;0,D38/SUM($D$5:$D$137),0)</f>
        <v>0.00522318591585263</v>
      </c>
      <c r="I38" s="24" t="n">
        <f aca="false">SUMIF($D$5:$D$137,"&gt;="&amp;D38)/SUM($D$5:$D$137)</f>
        <v>0.857399597887365</v>
      </c>
      <c r="J38" s="3" t="str">
        <f aca="false">IF(D38&lt;=0,"C",IF(I38&lt;=Parametros!$B$4,"A",IF(I38&lt;=Parametros!$B$5,"B","C")))</f>
        <v>B</v>
      </c>
      <c r="K38" s="3" t="str">
        <f aca="false">IF(E38&lt;=0,"Z",IF(G38&lt;=Parametros!$B$6,"X",IF(G38&lt;=Parametros!$B$7,"Y","Z")))</f>
        <v>X</v>
      </c>
      <c r="L38" s="3" t="str">
        <f aca="false">J38&amp;K38</f>
        <v>BX</v>
      </c>
      <c r="M38" s="3" t="str">
        <f aca="false">INDEX(Parametros!$B$23:$B$31,MATCH(L38,Parametros!$A$23:$A$31,0))</f>
        <v>Estadístico + revisión de tendencia.</v>
      </c>
      <c r="N38" s="3" t="str">
        <f aca="false">INDEX(Parametros!$C$23:$C$31,MATCH(L38,Parametros!$A$23:$A$31,0))</f>
        <v>Mensual</v>
      </c>
      <c r="O38" s="23" t="n">
        <f aca="false">SUM(Datos_Semanales!M38:R38)</f>
        <v>57271.1423547489</v>
      </c>
      <c r="P38" s="24" t="n">
        <f aca="false">IF(D38&gt;0,SUMPRODUCT(ABS(Datos_Semanales!F38:K38-Datos_Semanales!M38:R38))/D38,"")</f>
        <v>0.241274099132996</v>
      </c>
      <c r="Q38" s="24" t="n">
        <f aca="false">IF(D38&gt;0,O38/D38-1,"")</f>
        <v>-0.00633037763292288</v>
      </c>
      <c r="R38" s="23" t="n">
        <f aca="false">SQRT(SUMXMY2(Datos_Semanales!F38:K38,Datos_Semanales!M38:R38)/COUNT(Datos_Semanales!F38:K38))</f>
        <v>2761.02036781365</v>
      </c>
    </row>
    <row r="39" customFormat="false" ht="15" hidden="false" customHeight="false" outlineLevel="0" collapsed="false">
      <c r="A39" s="18" t="n">
        <f aca="false">Datos_Semanales!A39</f>
        <v>30002065</v>
      </c>
      <c r="B39" s="18" t="str">
        <f aca="false">Datos_Semanales!B39</f>
        <v>LECHE CHOCOLATE LONCOLECHE 12X1LT</v>
      </c>
      <c r="C39" s="18" t="str">
        <f aca="false">Datos_Semanales!C39</f>
        <v>LECHES LIQUIDAS</v>
      </c>
      <c r="D39" s="23" t="n">
        <f aca="false">SUM(Datos_Semanales!F39:K39)</f>
        <v>52320</v>
      </c>
      <c r="E39" s="23" t="n">
        <f aca="false">AVERAGE(Datos_Semanales!F39:K39)</f>
        <v>8720</v>
      </c>
      <c r="F39" s="23" t="n">
        <f aca="false">STDEV(Datos_Semanales!F39:K39)</f>
        <v>4735.97094585683</v>
      </c>
      <c r="G39" s="27" t="n">
        <f aca="false">IF(E39&gt;0,F39/E39,"")</f>
        <v>0.543115934157893</v>
      </c>
      <c r="H39" s="24" t="n">
        <f aca="false">IF(SUM($D$5:$D$137)&gt;0,D39/SUM($D$5:$D$137),0)</f>
        <v>0.00474143047951644</v>
      </c>
      <c r="I39" s="24" t="n">
        <f aca="false">SUMIF($D$5:$D$137,"&gt;="&amp;D39)/SUM($D$5:$D$137)</f>
        <v>0.862141028366881</v>
      </c>
      <c r="J39" s="3" t="str">
        <f aca="false">IF(D39&lt;=0,"C",IF(I39&lt;=Parametros!$B$4,"A",IF(I39&lt;=Parametros!$B$5,"B","C")))</f>
        <v>B</v>
      </c>
      <c r="K39" s="3" t="str">
        <f aca="false">IF(E39&lt;=0,"Z",IF(G39&lt;=Parametros!$B$6,"X",IF(G39&lt;=Parametros!$B$7,"Y","Z")))</f>
        <v>Y</v>
      </c>
      <c r="L39" s="3" t="str">
        <f aca="false">J39&amp;K39</f>
        <v>BY</v>
      </c>
      <c r="M39" s="3" t="str">
        <f aca="false">INDEX(Parametros!$B$23:$B$31,MATCH(L39,Parametros!$A$23:$A$31,0))</f>
        <v>Validar promociones y eventos con comercial.</v>
      </c>
      <c r="N39" s="3" t="str">
        <f aca="false">INDEX(Parametros!$C$23:$C$31,MATCH(L39,Parametros!$A$23:$A$31,0))</f>
        <v>Quincenal</v>
      </c>
      <c r="O39" s="23" t="n">
        <f aca="false">SUM(Datos_Semanales!M39:R39)</f>
        <v>51361.2349667435</v>
      </c>
      <c r="P39" s="24" t="n">
        <f aca="false">IF(D39&gt;0,SUMPRODUCT(ABS(Datos_Semanales!F39:K39-Datos_Semanales!M39:R39))/D39,"")</f>
        <v>0.456031807468338</v>
      </c>
      <c r="Q39" s="24" t="n">
        <f aca="false">IF(D39&gt;0,O39/D39-1,"")</f>
        <v>-0.0183250197487872</v>
      </c>
      <c r="R39" s="23" t="n">
        <f aca="false">SQRT(SUMXMY2(Datos_Semanales!F39:K39,Datos_Semanales!M39:R39)/COUNT(Datos_Semanales!F39:K39))</f>
        <v>4929.72906703458</v>
      </c>
    </row>
    <row r="40" customFormat="false" ht="15" hidden="false" customHeight="false" outlineLevel="0" collapsed="false">
      <c r="A40" s="18" t="n">
        <f aca="false">Datos_Semanales!A40</f>
        <v>30002230</v>
      </c>
      <c r="B40" s="18" t="str">
        <f aca="false">Datos_Semanales!B40</f>
        <v>NECTAR WATTS MANZANA 5X10X115ML</v>
      </c>
      <c r="C40" s="18" t="str">
        <f aca="false">Datos_Semanales!C40</f>
        <v>JUGOS Y NECTARES</v>
      </c>
      <c r="D40" s="23" t="n">
        <f aca="false">SUM(Datos_Semanales!F40:K40)</f>
        <v>51290</v>
      </c>
      <c r="E40" s="23" t="n">
        <f aca="false">AVERAGE(Datos_Semanales!F40:K40)</f>
        <v>8548.33333333333</v>
      </c>
      <c r="F40" s="23" t="n">
        <f aca="false">STDEV(Datos_Semanales!F40:K40)</f>
        <v>6538.50263184673</v>
      </c>
      <c r="G40" s="27" t="n">
        <f aca="false">IF(E40&gt;0,F40/E40,"")</f>
        <v>0.764886250557231</v>
      </c>
      <c r="H40" s="24" t="n">
        <f aca="false">IF(SUM($D$5:$D$137)&gt;0,D40/SUM($D$5:$D$137),0)</f>
        <v>0.00464808809813453</v>
      </c>
      <c r="I40" s="24" t="n">
        <f aca="false">SUMIF($D$5:$D$137,"&gt;="&amp;D40)/SUM($D$5:$D$137)</f>
        <v>0.866789116465016</v>
      </c>
      <c r="J40" s="3" t="str">
        <f aca="false">IF(D40&lt;=0,"C",IF(I40&lt;=Parametros!$B$4,"A",IF(I40&lt;=Parametros!$B$5,"B","C")))</f>
        <v>B</v>
      </c>
      <c r="K40" s="3" t="str">
        <f aca="false">IF(E40&lt;=0,"Z",IF(G40&lt;=Parametros!$B$6,"X",IF(G40&lt;=Parametros!$B$7,"Y","Z")))</f>
        <v>Y</v>
      </c>
      <c r="L40" s="3" t="str">
        <f aca="false">J40&amp;K40</f>
        <v>BY</v>
      </c>
      <c r="M40" s="3" t="str">
        <f aca="false">INDEX(Parametros!$B$23:$B$31,MATCH(L40,Parametros!$A$23:$A$31,0))</f>
        <v>Validar promociones y eventos con comercial.</v>
      </c>
      <c r="N40" s="3" t="str">
        <f aca="false">INDEX(Parametros!$C$23:$C$31,MATCH(L40,Parametros!$A$23:$A$31,0))</f>
        <v>Quincenal</v>
      </c>
      <c r="O40" s="23" t="n">
        <f aca="false">SUM(Datos_Semanales!M40:R40)</f>
        <v>35095.1270833333</v>
      </c>
      <c r="P40" s="24" t="n">
        <f aca="false">IF(D40&gt;0,SUMPRODUCT(ABS(Datos_Semanales!F40:K40-Datos_Semanales!M40:R40))/D40,"")</f>
        <v>0.520892043608241</v>
      </c>
      <c r="Q40" s="24" t="n">
        <f aca="false">IF(D40&gt;0,O40/D40-1,"")</f>
        <v>-0.315751080457529</v>
      </c>
      <c r="R40" s="23" t="n">
        <f aca="false">SQRT(SUMXMY2(Datos_Semanales!F40:K40,Datos_Semanales!M40:R40)/COUNT(Datos_Semanales!F40:K40))</f>
        <v>5174.95783367242</v>
      </c>
    </row>
    <row r="41" customFormat="false" ht="15" hidden="false" customHeight="false" outlineLevel="0" collapsed="false">
      <c r="A41" s="18" t="n">
        <f aca="false">Datos_Semanales!A41</f>
        <v>30000347</v>
      </c>
      <c r="B41" s="18" t="str">
        <f aca="false">Datos_Semanales!B41</f>
        <v>CREMA LISTA LONCO 30X200ML</v>
      </c>
      <c r="C41" s="18" t="str">
        <f aca="false">Datos_Semanales!C41</f>
        <v>CREMA</v>
      </c>
      <c r="D41" s="23" t="n">
        <f aca="false">SUM(Datos_Semanales!F41:K41)</f>
        <v>49038</v>
      </c>
      <c r="E41" s="23" t="n">
        <f aca="false">AVERAGE(Datos_Semanales!F41:K41)</f>
        <v>8173</v>
      </c>
      <c r="F41" s="23" t="n">
        <f aca="false">STDEV(Datos_Semanales!F41:K41)</f>
        <v>3019.58586564449</v>
      </c>
      <c r="G41" s="27" t="n">
        <f aca="false">IF(E41&gt;0,F41/E41,"")</f>
        <v>0.369458689054753</v>
      </c>
      <c r="H41" s="24" t="n">
        <f aca="false">IF(SUM($D$5:$D$137)&gt;0,D41/SUM($D$5:$D$137),0)</f>
        <v>0.00444400359049173</v>
      </c>
      <c r="I41" s="24" t="n">
        <f aca="false">SUMIF($D$5:$D$137,"&gt;="&amp;D41)/SUM($D$5:$D$137)</f>
        <v>0.871233120055507</v>
      </c>
      <c r="J41" s="3" t="str">
        <f aca="false">IF(D41&lt;=0,"C",IF(I41&lt;=Parametros!$B$4,"A",IF(I41&lt;=Parametros!$B$5,"B","C")))</f>
        <v>B</v>
      </c>
      <c r="K41" s="3" t="str">
        <f aca="false">IF(E41&lt;=0,"Z",IF(G41&lt;=Parametros!$B$6,"X",IF(G41&lt;=Parametros!$B$7,"Y","Z")))</f>
        <v>X</v>
      </c>
      <c r="L41" s="3" t="str">
        <f aca="false">J41&amp;K41</f>
        <v>BX</v>
      </c>
      <c r="M41" s="3" t="str">
        <f aca="false">INDEX(Parametros!$B$23:$B$31,MATCH(L41,Parametros!$A$23:$A$31,0))</f>
        <v>Estadístico + revisión de tendencia.</v>
      </c>
      <c r="N41" s="3" t="str">
        <f aca="false">INDEX(Parametros!$C$23:$C$31,MATCH(L41,Parametros!$A$23:$A$31,0))</f>
        <v>Mensual</v>
      </c>
      <c r="O41" s="23" t="n">
        <f aca="false">SUM(Datos_Semanales!M41:R41)</f>
        <v>56455.2440421152</v>
      </c>
      <c r="P41" s="24" t="n">
        <f aca="false">IF(D41&gt;0,SUMPRODUCT(ABS(Datos_Semanales!F41:K41-Datos_Semanales!M41:R41))/D41,"")</f>
        <v>0.333970472737779</v>
      </c>
      <c r="Q41" s="24" t="n">
        <f aca="false">IF(D41&gt;0,O41/D41-1,"")</f>
        <v>0.151255027572805</v>
      </c>
      <c r="R41" s="23" t="n">
        <f aca="false">SQRT(SUMXMY2(Datos_Semanales!F41:K41,Datos_Semanales!M41:R41)/COUNT(Datos_Semanales!F41:K41))</f>
        <v>3019.7257768727</v>
      </c>
    </row>
    <row r="42" customFormat="false" ht="15" hidden="false" customHeight="false" outlineLevel="0" collapsed="false">
      <c r="A42" s="18" t="n">
        <f aca="false">Datos_Semanales!A42</f>
        <v>30001715</v>
      </c>
      <c r="B42" s="18" t="str">
        <f aca="false">Datos_Semanales!B42</f>
        <v>LP LONCO SEMIDESCREMADA 10X760GR</v>
      </c>
      <c r="C42" s="18" t="str">
        <f aca="false">Datos_Semanales!C42</f>
        <v>LECHES EN POLVO</v>
      </c>
      <c r="D42" s="23" t="n">
        <f aca="false">SUM(Datos_Semanales!F42:K42)</f>
        <v>47317.6</v>
      </c>
      <c r="E42" s="23" t="n">
        <f aca="false">AVERAGE(Datos_Semanales!F42:K42)</f>
        <v>7886.26666666667</v>
      </c>
      <c r="F42" s="23" t="n">
        <f aca="false">STDEV(Datos_Semanales!F42:K42)</f>
        <v>3633.99439221728</v>
      </c>
      <c r="G42" s="27" t="n">
        <f aca="false">IF(E42&gt;0,F42/E42,"")</f>
        <v>0.460800343916507</v>
      </c>
      <c r="H42" s="24" t="n">
        <f aca="false">IF(SUM($D$5:$D$137)&gt;0,D42/SUM($D$5:$D$137),0)</f>
        <v>0.00428809462648255</v>
      </c>
      <c r="I42" s="24" t="n">
        <f aca="false">SUMIF($D$5:$D$137,"&gt;="&amp;D42)/SUM($D$5:$D$137)</f>
        <v>0.87552121468199</v>
      </c>
      <c r="J42" s="3" t="str">
        <f aca="false">IF(D42&lt;=0,"C",IF(I42&lt;=Parametros!$B$4,"A",IF(I42&lt;=Parametros!$B$5,"B","C")))</f>
        <v>B</v>
      </c>
      <c r="K42" s="3" t="str">
        <f aca="false">IF(E42&lt;=0,"Z",IF(G42&lt;=Parametros!$B$6,"X",IF(G42&lt;=Parametros!$B$7,"Y","Z")))</f>
        <v>X</v>
      </c>
      <c r="L42" s="3" t="str">
        <f aca="false">J42&amp;K42</f>
        <v>BX</v>
      </c>
      <c r="M42" s="3" t="str">
        <f aca="false">INDEX(Parametros!$B$23:$B$31,MATCH(L42,Parametros!$A$23:$A$31,0))</f>
        <v>Estadístico + revisión de tendencia.</v>
      </c>
      <c r="N42" s="3" t="str">
        <f aca="false">INDEX(Parametros!$C$23:$C$31,MATCH(L42,Parametros!$A$23:$A$31,0))</f>
        <v>Mensual</v>
      </c>
      <c r="O42" s="23" t="n">
        <f aca="false">SUM(Datos_Semanales!M42:R42)</f>
        <v>58378.8540381682</v>
      </c>
      <c r="P42" s="24" t="n">
        <f aca="false">IF(D42&gt;0,SUMPRODUCT(ABS(Datos_Semanales!F42:K42-Datos_Semanales!M42:R42))/D42,"")</f>
        <v>0.693956286071817</v>
      </c>
      <c r="Q42" s="24" t="n">
        <f aca="false">IF(D42&gt;0,O42/D42-1,"")</f>
        <v>0.233766168152404</v>
      </c>
      <c r="R42" s="23" t="n">
        <f aca="false">SQRT(SUMXMY2(Datos_Semanales!F42:K42,Datos_Semanales!M42:R42)/COUNT(Datos_Semanales!F42:K42))</f>
        <v>5969.53507635273</v>
      </c>
    </row>
    <row r="43" customFormat="false" ht="15" hidden="false" customHeight="false" outlineLevel="0" collapsed="false">
      <c r="A43" s="18" t="n">
        <f aca="false">Datos_Semanales!A43</f>
        <v>30001410</v>
      </c>
      <c r="B43" s="18" t="str">
        <f aca="false">Datos_Semanales!B43</f>
        <v>LECHE POLVO CALO 26% INST 6X1,440KG</v>
      </c>
      <c r="C43" s="18" t="str">
        <f aca="false">Datos_Semanales!C43</f>
        <v>LECHES EN POLVO</v>
      </c>
      <c r="D43" s="23" t="n">
        <f aca="false">SUM(Datos_Semanales!F43:K43)</f>
        <v>45014.4</v>
      </c>
      <c r="E43" s="23" t="n">
        <f aca="false">AVERAGE(Datos_Semanales!F43:K43)</f>
        <v>7502.4</v>
      </c>
      <c r="F43" s="23" t="n">
        <f aca="false">STDEV(Datos_Semanales!F43:K43)</f>
        <v>2429.48852217087</v>
      </c>
      <c r="G43" s="27" t="n">
        <f aca="false">IF(E43&gt;0,F43/E43,"")</f>
        <v>0.323828177939176</v>
      </c>
      <c r="H43" s="24" t="n">
        <f aca="false">IF(SUM($D$5:$D$137)&gt;0,D43/SUM($D$5:$D$137),0)</f>
        <v>0.00407937018687204</v>
      </c>
      <c r="I43" s="24" t="n">
        <f aca="false">SUMIF($D$5:$D$137,"&gt;="&amp;D43)/SUM($D$5:$D$137)</f>
        <v>0.879600584868862</v>
      </c>
      <c r="J43" s="3" t="str">
        <f aca="false">IF(D43&lt;=0,"C",IF(I43&lt;=Parametros!$B$4,"A",IF(I43&lt;=Parametros!$B$5,"B","C")))</f>
        <v>B</v>
      </c>
      <c r="K43" s="3" t="str">
        <f aca="false">IF(E43&lt;=0,"Z",IF(G43&lt;=Parametros!$B$6,"X",IF(G43&lt;=Parametros!$B$7,"Y","Z")))</f>
        <v>X</v>
      </c>
      <c r="L43" s="3" t="str">
        <f aca="false">J43&amp;K43</f>
        <v>BX</v>
      </c>
      <c r="M43" s="3" t="str">
        <f aca="false">INDEX(Parametros!$B$23:$B$31,MATCH(L43,Parametros!$A$23:$A$31,0))</f>
        <v>Estadístico + revisión de tendencia.</v>
      </c>
      <c r="N43" s="3" t="str">
        <f aca="false">INDEX(Parametros!$C$23:$C$31,MATCH(L43,Parametros!$A$23:$A$31,0))</f>
        <v>Mensual</v>
      </c>
      <c r="O43" s="23" t="n">
        <f aca="false">SUM(Datos_Semanales!M43:R43)</f>
        <v>38952.7506011939</v>
      </c>
      <c r="P43" s="24" t="n">
        <f aca="false">IF(D43&gt;0,SUMPRODUCT(ABS(Datos_Semanales!F43:K43-Datos_Semanales!M43:R43))/D43,"")</f>
        <v>0.276321845924724</v>
      </c>
      <c r="Q43" s="24" t="n">
        <f aca="false">IF(D43&gt;0,O43/D43-1,"")</f>
        <v>-0.134660228700285</v>
      </c>
      <c r="R43" s="23" t="n">
        <f aca="false">SQRT(SUMXMY2(Datos_Semanales!F43:K43,Datos_Semanales!M43:R43)/COUNT(Datos_Semanales!F43:K43))</f>
        <v>2450.59795981961</v>
      </c>
    </row>
    <row r="44" customFormat="false" ht="15" hidden="false" customHeight="false" outlineLevel="0" collapsed="false">
      <c r="A44" s="18" t="n">
        <f aca="false">Datos_Semanales!A44</f>
        <v>30001423</v>
      </c>
      <c r="B44" s="18" t="str">
        <f aca="false">Datos_Semanales!B44</f>
        <v>FULL PROTEIN LONCO VAINILLA 18X250ML</v>
      </c>
      <c r="C44" s="18" t="str">
        <f aca="false">Datos_Semanales!C44</f>
        <v>LECHES LIQUIDAS</v>
      </c>
      <c r="D44" s="23" t="n">
        <f aca="false">SUM(Datos_Semanales!F44:K44)</f>
        <v>43281</v>
      </c>
      <c r="E44" s="23" t="n">
        <f aca="false">AVERAGE(Datos_Semanales!F44:K44)</f>
        <v>7213.5</v>
      </c>
      <c r="F44" s="23" t="n">
        <f aca="false">STDEV(Datos_Semanales!F44:K44)</f>
        <v>1161.43596465754</v>
      </c>
      <c r="G44" s="27" t="n">
        <f aca="false">IF(E44&gt;0,F44/E44,"")</f>
        <v>0.161008659410486</v>
      </c>
      <c r="H44" s="24" t="n">
        <f aca="false">IF(SUM($D$5:$D$137)&gt;0,D44/SUM($D$5:$D$137),0)</f>
        <v>0.00392228311513668</v>
      </c>
      <c r="I44" s="24" t="n">
        <f aca="false">SUMIF($D$5:$D$137,"&gt;="&amp;D44)/SUM($D$5:$D$137)</f>
        <v>0.883522867983999</v>
      </c>
      <c r="J44" s="3" t="str">
        <f aca="false">IF(D44&lt;=0,"C",IF(I44&lt;=Parametros!$B$4,"A",IF(I44&lt;=Parametros!$B$5,"B","C")))</f>
        <v>B</v>
      </c>
      <c r="K44" s="3" t="str">
        <f aca="false">IF(E44&lt;=0,"Z",IF(G44&lt;=Parametros!$B$6,"X",IF(G44&lt;=Parametros!$B$7,"Y","Z")))</f>
        <v>X</v>
      </c>
      <c r="L44" s="3" t="str">
        <f aca="false">J44&amp;K44</f>
        <v>BX</v>
      </c>
      <c r="M44" s="3" t="str">
        <f aca="false">INDEX(Parametros!$B$23:$B$31,MATCH(L44,Parametros!$A$23:$A$31,0))</f>
        <v>Estadístico + revisión de tendencia.</v>
      </c>
      <c r="N44" s="3" t="str">
        <f aca="false">INDEX(Parametros!$C$23:$C$31,MATCH(L44,Parametros!$A$23:$A$31,0))</f>
        <v>Mensual</v>
      </c>
      <c r="O44" s="23" t="n">
        <f aca="false">SUM(Datos_Semanales!M44:R44)</f>
        <v>42526.1316398683</v>
      </c>
      <c r="P44" s="24" t="n">
        <f aca="false">IF(D44&gt;0,SUMPRODUCT(ABS(Datos_Semanales!F44:K44-Datos_Semanales!M44:R44))/D44,"")</f>
        <v>0.231467194377863</v>
      </c>
      <c r="Q44" s="24" t="n">
        <f aca="false">IF(D44&gt;0,O44/D44-1,"")</f>
        <v>-0.0174411025653684</v>
      </c>
      <c r="R44" s="23" t="n">
        <f aca="false">SQRT(SUMXMY2(Datos_Semanales!F44:K44,Datos_Semanales!M44:R44)/COUNT(Datos_Semanales!F44:K44))</f>
        <v>1926.06601948616</v>
      </c>
    </row>
    <row r="45" customFormat="false" ht="15" hidden="false" customHeight="false" outlineLevel="0" collapsed="false">
      <c r="A45" s="18" t="n">
        <f aca="false">Datos_Semanales!A45</f>
        <v>30000306</v>
      </c>
      <c r="B45" s="18" t="str">
        <f aca="false">Datos_Semanales!B45</f>
        <v>YOGU YOGU DAMASCO 30X200GR</v>
      </c>
      <c r="C45" s="18" t="str">
        <f aca="false">Datos_Semanales!C45</f>
        <v>LECHES LIQUIDAS</v>
      </c>
      <c r="D45" s="23" t="n">
        <f aca="false">SUM(Datos_Semanales!F45:K45)</f>
        <v>42930</v>
      </c>
      <c r="E45" s="23" t="n">
        <f aca="false">AVERAGE(Datos_Semanales!F45:K45)</f>
        <v>7155</v>
      </c>
      <c r="F45" s="23" t="n">
        <f aca="false">STDEV(Datos_Semanales!F45:K45)</f>
        <v>1061.26245575729</v>
      </c>
      <c r="G45" s="27" t="n">
        <f aca="false">IF(E45&gt;0,F45/E45,"")</f>
        <v>0.148324591999622</v>
      </c>
      <c r="H45" s="24" t="n">
        <f aca="false">IF(SUM($D$5:$D$137)&gt;0,D45/SUM($D$5:$D$137),0)</f>
        <v>0.00389047420652983</v>
      </c>
      <c r="I45" s="24" t="n">
        <f aca="false">SUMIF($D$5:$D$137,"&gt;="&amp;D45)/SUM($D$5:$D$137)</f>
        <v>0.887413342190529</v>
      </c>
      <c r="J45" s="3" t="str">
        <f aca="false">IF(D45&lt;=0,"C",IF(I45&lt;=Parametros!$B$4,"A",IF(I45&lt;=Parametros!$B$5,"B","C")))</f>
        <v>B</v>
      </c>
      <c r="K45" s="3" t="str">
        <f aca="false">IF(E45&lt;=0,"Z",IF(G45&lt;=Parametros!$B$6,"X",IF(G45&lt;=Parametros!$B$7,"Y","Z")))</f>
        <v>X</v>
      </c>
      <c r="L45" s="3" t="str">
        <f aca="false">J45&amp;K45</f>
        <v>BX</v>
      </c>
      <c r="M45" s="3" t="str">
        <f aca="false">INDEX(Parametros!$B$23:$B$31,MATCH(L45,Parametros!$A$23:$A$31,0))</f>
        <v>Estadístico + revisión de tendencia.</v>
      </c>
      <c r="N45" s="3" t="str">
        <f aca="false">INDEX(Parametros!$C$23:$C$31,MATCH(L45,Parametros!$A$23:$A$31,0))</f>
        <v>Mensual</v>
      </c>
      <c r="O45" s="23" t="n">
        <f aca="false">SUM(Datos_Semanales!M45:R45)</f>
        <v>47928.4018941655</v>
      </c>
      <c r="P45" s="24" t="n">
        <f aca="false">IF(D45&gt;0,SUMPRODUCT(ABS(Datos_Semanales!F45:K45-Datos_Semanales!M45:R45))/D45,"")</f>
        <v>0.27467566055938</v>
      </c>
      <c r="Q45" s="24" t="n">
        <f aca="false">IF(D45&gt;0,O45/D45-1,"")</f>
        <v>0.1164314440756</v>
      </c>
      <c r="R45" s="23" t="n">
        <f aca="false">SQRT(SUMXMY2(Datos_Semanales!F45:K45,Datos_Semanales!M45:R45)/COUNT(Datos_Semanales!F45:K45))</f>
        <v>2203.79090454783</v>
      </c>
    </row>
    <row r="46" customFormat="false" ht="15" hidden="false" customHeight="false" outlineLevel="0" collapsed="false">
      <c r="A46" s="18" t="n">
        <f aca="false">Datos_Semanales!A46</f>
        <v>30000010</v>
      </c>
      <c r="B46" s="18" t="str">
        <f aca="false">Datos_Semanales!B46</f>
        <v>LS8 L. MOMENTS CAPUCHINO 12X1LT</v>
      </c>
      <c r="C46" s="18" t="str">
        <f aca="false">Datos_Semanales!C46</f>
        <v>LECHES LIQUIDAS</v>
      </c>
      <c r="D46" s="23" t="n">
        <f aca="false">SUM(Datos_Semanales!F46:K46)</f>
        <v>41988</v>
      </c>
      <c r="E46" s="23" t="n">
        <f aca="false">AVERAGE(Datos_Semanales!F46:K46)</f>
        <v>6998</v>
      </c>
      <c r="F46" s="23" t="n">
        <f aca="false">STDEV(Datos_Semanales!F46:K46)</f>
        <v>2735.82543302748</v>
      </c>
      <c r="G46" s="27" t="n">
        <f aca="false">IF(E46&gt;0,F46/E46,"")</f>
        <v>0.390943902976205</v>
      </c>
      <c r="H46" s="24" t="n">
        <f aca="false">IF(SUM($D$5:$D$137)&gt;0,D46/SUM($D$5:$D$137),0)</f>
        <v>0.00380510670821744</v>
      </c>
      <c r="I46" s="24" t="n">
        <f aca="false">SUMIF($D$5:$D$137,"&gt;="&amp;D46)/SUM($D$5:$D$137)</f>
        <v>0.891218448898746</v>
      </c>
      <c r="J46" s="3" t="str">
        <f aca="false">IF(D46&lt;=0,"C",IF(I46&lt;=Parametros!$B$4,"A",IF(I46&lt;=Parametros!$B$5,"B","C")))</f>
        <v>B</v>
      </c>
      <c r="K46" s="3" t="str">
        <f aca="false">IF(E46&lt;=0,"Z",IF(G46&lt;=Parametros!$B$6,"X",IF(G46&lt;=Parametros!$B$7,"Y","Z")))</f>
        <v>X</v>
      </c>
      <c r="L46" s="3" t="str">
        <f aca="false">J46&amp;K46</f>
        <v>BX</v>
      </c>
      <c r="M46" s="3" t="str">
        <f aca="false">INDEX(Parametros!$B$23:$B$31,MATCH(L46,Parametros!$A$23:$A$31,0))</f>
        <v>Estadístico + revisión de tendencia.</v>
      </c>
      <c r="N46" s="3" t="str">
        <f aca="false">INDEX(Parametros!$C$23:$C$31,MATCH(L46,Parametros!$A$23:$A$31,0))</f>
        <v>Mensual</v>
      </c>
      <c r="O46" s="23" t="n">
        <f aca="false">SUM(Datos_Semanales!M46:R46)</f>
        <v>48726.7374867612</v>
      </c>
      <c r="P46" s="24" t="n">
        <f aca="false">IF(D46&gt;0,SUMPRODUCT(ABS(Datos_Semanales!F46:K46-Datos_Semanales!M46:R46))/D46,"")</f>
        <v>0.397454927283062</v>
      </c>
      <c r="Q46" s="24" t="n">
        <f aca="false">IF(D46&gt;0,O46/D46-1,"")</f>
        <v>0.160491985490169</v>
      </c>
      <c r="R46" s="23" t="n">
        <f aca="false">SQRT(SUMXMY2(Datos_Semanales!F46:K46,Datos_Semanales!M46:R46)/COUNT(Datos_Semanales!F46:K46))</f>
        <v>3067.755895969</v>
      </c>
    </row>
    <row r="47" customFormat="false" ht="15" hidden="false" customHeight="false" outlineLevel="0" collapsed="false">
      <c r="A47" s="18" t="n">
        <f aca="false">Datos_Semanales!A47</f>
        <v>30002078</v>
      </c>
      <c r="B47" s="18" t="str">
        <f aca="false">Datos_Semanales!B47</f>
        <v>LECHE PLATANO LONCOLECHE 12X1LT</v>
      </c>
      <c r="C47" s="18" t="str">
        <f aca="false">Datos_Semanales!C47</f>
        <v>LECHES LIQUIDAS</v>
      </c>
      <c r="D47" s="23" t="n">
        <f aca="false">SUM(Datos_Semanales!F47:K47)</f>
        <v>39864</v>
      </c>
      <c r="E47" s="23" t="n">
        <f aca="false">AVERAGE(Datos_Semanales!F47:K47)</f>
        <v>6644</v>
      </c>
      <c r="F47" s="23" t="n">
        <f aca="false">STDEV(Datos_Semanales!F47:K47)</f>
        <v>2107.53163677322</v>
      </c>
      <c r="G47" s="27" t="n">
        <f aca="false">IF(E47&gt;0,F47/E47,"")</f>
        <v>0.317208253578148</v>
      </c>
      <c r="H47" s="24" t="n">
        <f aca="false">IF(SUM($D$5:$D$137)&gt;0,D47/SUM($D$5:$D$137),0)</f>
        <v>0.00361262203049395</v>
      </c>
      <c r="I47" s="24" t="n">
        <f aca="false">SUMIF($D$5:$D$137,"&gt;="&amp;D47)/SUM($D$5:$D$137)</f>
        <v>0.89483107092924</v>
      </c>
      <c r="J47" s="3" t="str">
        <f aca="false">IF(D47&lt;=0,"C",IF(I47&lt;=Parametros!$B$4,"A",IF(I47&lt;=Parametros!$B$5,"B","C")))</f>
        <v>B</v>
      </c>
      <c r="K47" s="3" t="str">
        <f aca="false">IF(E47&lt;=0,"Z",IF(G47&lt;=Parametros!$B$6,"X",IF(G47&lt;=Parametros!$B$7,"Y","Z")))</f>
        <v>X</v>
      </c>
      <c r="L47" s="3" t="str">
        <f aca="false">J47&amp;K47</f>
        <v>BX</v>
      </c>
      <c r="M47" s="3" t="str">
        <f aca="false">INDEX(Parametros!$B$23:$B$31,MATCH(L47,Parametros!$A$23:$A$31,0))</f>
        <v>Estadístico + revisión de tendencia.</v>
      </c>
      <c r="N47" s="3" t="str">
        <f aca="false">INDEX(Parametros!$C$23:$C$31,MATCH(L47,Parametros!$A$23:$A$31,0))</f>
        <v>Mensual</v>
      </c>
      <c r="O47" s="23" t="n">
        <f aca="false">SUM(Datos_Semanales!M47:R47)</f>
        <v>45767.8529372825</v>
      </c>
      <c r="P47" s="24" t="n">
        <f aca="false">IF(D47&gt;0,SUMPRODUCT(ABS(Datos_Semanales!F47:K47-Datos_Semanales!M47:R47))/D47,"")</f>
        <v>0.424192494134656</v>
      </c>
      <c r="Q47" s="24" t="n">
        <f aca="false">IF(D47&gt;0,O47/D47-1,"")</f>
        <v>0.148099862966147</v>
      </c>
      <c r="R47" s="23" t="n">
        <f aca="false">SQRT(SUMXMY2(Datos_Semanales!F47:K47,Datos_Semanales!M47:R47)/COUNT(Datos_Semanales!F47:K47))</f>
        <v>3352.22363337893</v>
      </c>
    </row>
    <row r="48" customFormat="false" ht="15" hidden="false" customHeight="false" outlineLevel="0" collapsed="false">
      <c r="A48" s="18" t="n">
        <f aca="false">Datos_Semanales!A48</f>
        <v>30001895</v>
      </c>
      <c r="B48" s="18" t="str">
        <f aca="false">Datos_Semanales!B48</f>
        <v>LP LONCO DESCREMADA 20X760GR</v>
      </c>
      <c r="C48" s="18" t="str">
        <f aca="false">Datos_Semanales!C48</f>
        <v>LECHES EN POLVO</v>
      </c>
      <c r="D48" s="23" t="n">
        <f aca="false">SUM(Datos_Semanales!F48:K48)</f>
        <v>39626.4</v>
      </c>
      <c r="E48" s="23" t="n">
        <f aca="false">AVERAGE(Datos_Semanales!F48:K48)</f>
        <v>6604.4</v>
      </c>
      <c r="F48" s="23" t="n">
        <f aca="false">STDEV(Datos_Semanales!F48:K48)</f>
        <v>3427.41294389807</v>
      </c>
      <c r="G48" s="27" t="n">
        <f aca="false">IF(E48&gt;0,F48/E48,"")</f>
        <v>0.518959018820493</v>
      </c>
      <c r="H48" s="24" t="n">
        <f aca="false">IF(SUM($D$5:$D$137)&gt;0,D48/SUM($D$5:$D$137),0)</f>
        <v>0.00359108984620624</v>
      </c>
      <c r="I48" s="24" t="n">
        <f aca="false">SUMIF($D$5:$D$137,"&gt;="&amp;D48)/SUM($D$5:$D$137)</f>
        <v>0.898422160775446</v>
      </c>
      <c r="J48" s="3" t="str">
        <f aca="false">IF(D48&lt;=0,"C",IF(I48&lt;=Parametros!$B$4,"A",IF(I48&lt;=Parametros!$B$5,"B","C")))</f>
        <v>B</v>
      </c>
      <c r="K48" s="3" t="str">
        <f aca="false">IF(E48&lt;=0,"Z",IF(G48&lt;=Parametros!$B$6,"X",IF(G48&lt;=Parametros!$B$7,"Y","Z")))</f>
        <v>Y</v>
      </c>
      <c r="L48" s="3" t="str">
        <f aca="false">J48&amp;K48</f>
        <v>BY</v>
      </c>
      <c r="M48" s="3" t="str">
        <f aca="false">INDEX(Parametros!$B$23:$B$31,MATCH(L48,Parametros!$A$23:$A$31,0))</f>
        <v>Validar promociones y eventos con comercial.</v>
      </c>
      <c r="N48" s="3" t="str">
        <f aca="false">INDEX(Parametros!$C$23:$C$31,MATCH(L48,Parametros!$A$23:$A$31,0))</f>
        <v>Quincenal</v>
      </c>
      <c r="O48" s="23" t="n">
        <f aca="false">SUM(Datos_Semanales!M48:R48)</f>
        <v>42285.5143080687</v>
      </c>
      <c r="P48" s="24" t="n">
        <f aca="false">IF(D48&gt;0,SUMPRODUCT(ABS(Datos_Semanales!F48:K48-Datos_Semanales!M48:R48))/D48,"")</f>
        <v>0.32414537550897</v>
      </c>
      <c r="Q48" s="24" t="n">
        <f aca="false">IF(D48&gt;0,O48/D48-1,"")</f>
        <v>0.0671046148039856</v>
      </c>
      <c r="R48" s="23" t="n">
        <f aca="false">SQRT(SUMXMY2(Datos_Semanales!F48:K48,Datos_Semanales!M48:R48)/COUNT(Datos_Semanales!F48:K48))</f>
        <v>2641.02049592992</v>
      </c>
    </row>
    <row r="49" customFormat="false" ht="15" hidden="false" customHeight="false" outlineLevel="0" collapsed="false">
      <c r="A49" s="18" t="n">
        <f aca="false">Datos_Semanales!A49</f>
        <v>30002229</v>
      </c>
      <c r="B49" s="18" t="str">
        <f aca="false">Datos_Semanales!B49</f>
        <v>NECTAR WATTS DURAZNO 5X10X115ML</v>
      </c>
      <c r="C49" s="18" t="str">
        <f aca="false">Datos_Semanales!C49</f>
        <v>JUGOS Y NECTARES</v>
      </c>
      <c r="D49" s="23" t="n">
        <f aca="false">SUM(Datos_Semanales!F49:K49)</f>
        <v>39215</v>
      </c>
      <c r="E49" s="23" t="n">
        <f aca="false">AVERAGE(Datos_Semanales!F49:K49)</f>
        <v>6535.83333333333</v>
      </c>
      <c r="F49" s="23" t="n">
        <f aca="false">STDEV(Datos_Semanales!F49:K49)</f>
        <v>5648.08854097266</v>
      </c>
      <c r="G49" s="27" t="n">
        <f aca="false">IF(E49&gt;0,F49/E49,"")</f>
        <v>0.864172669790538</v>
      </c>
      <c r="H49" s="24" t="n">
        <f aca="false">IF(SUM($D$5:$D$137)&gt;0,D49/SUM($D$5:$D$137),0)</f>
        <v>0.00355380726785622</v>
      </c>
      <c r="I49" s="24" t="n">
        <f aca="false">SUMIF($D$5:$D$137,"&gt;="&amp;D49)/SUM($D$5:$D$137)</f>
        <v>0.901975968043302</v>
      </c>
      <c r="J49" s="3" t="str">
        <f aca="false">IF(D49&lt;=0,"C",IF(I49&lt;=Parametros!$B$4,"A",IF(I49&lt;=Parametros!$B$5,"B","C")))</f>
        <v>B</v>
      </c>
      <c r="K49" s="3" t="str">
        <f aca="false">IF(E49&lt;=0,"Z",IF(G49&lt;=Parametros!$B$6,"X",IF(G49&lt;=Parametros!$B$7,"Y","Z")))</f>
        <v>Y</v>
      </c>
      <c r="L49" s="3" t="str">
        <f aca="false">J49&amp;K49</f>
        <v>BY</v>
      </c>
      <c r="M49" s="3" t="str">
        <f aca="false">INDEX(Parametros!$B$23:$B$31,MATCH(L49,Parametros!$A$23:$A$31,0))</f>
        <v>Validar promociones y eventos con comercial.</v>
      </c>
      <c r="N49" s="3" t="str">
        <f aca="false">INDEX(Parametros!$C$23:$C$31,MATCH(L49,Parametros!$A$23:$A$31,0))</f>
        <v>Quincenal</v>
      </c>
      <c r="O49" s="23" t="n">
        <f aca="false">SUM(Datos_Semanales!M49:R49)</f>
        <v>29433.8333333333</v>
      </c>
      <c r="P49" s="24" t="n">
        <f aca="false">IF(D49&gt;0,SUMPRODUCT(ABS(Datos_Semanales!F49:K49-Datos_Semanales!M49:R49))/D49,"")</f>
        <v>0.461460325555697</v>
      </c>
      <c r="Q49" s="24" t="n">
        <f aca="false">IF(D49&gt;0,O49/D49-1,"")</f>
        <v>-0.249424114922011</v>
      </c>
      <c r="R49" s="23" t="n">
        <f aca="false">SQRT(SUMXMY2(Datos_Semanales!F49:K49,Datos_Semanales!M49:R49)/COUNT(Datos_Semanales!F49:K49))</f>
        <v>3936.28363281446</v>
      </c>
    </row>
    <row r="50" customFormat="false" ht="15" hidden="false" customHeight="false" outlineLevel="0" collapsed="false">
      <c r="A50" s="18" t="n">
        <f aca="false">Datos_Semanales!A50</f>
        <v>30001923</v>
      </c>
      <c r="B50" s="18" t="str">
        <f aca="false">Datos_Semanales!B50</f>
        <v>JUGO 100% FRUTA WATTS NRJA-MZNA 30X200ML</v>
      </c>
      <c r="C50" s="18" t="str">
        <f aca="false">Datos_Semanales!C50</f>
        <v>JUGOS Y NECTARES</v>
      </c>
      <c r="D50" s="23" t="n">
        <f aca="false">SUM(Datos_Semanales!F50:K50)</f>
        <v>38106</v>
      </c>
      <c r="E50" s="23" t="n">
        <f aca="false">AVERAGE(Datos_Semanales!F50:K50)</f>
        <v>6351</v>
      </c>
      <c r="F50" s="23" t="n">
        <f aca="false">STDEV(Datos_Semanales!F50:K50)</f>
        <v>3639.20403385136</v>
      </c>
      <c r="G50" s="27" t="n">
        <f aca="false">IF(E50&gt;0,F50/E50,"")</f>
        <v>0.573012759227107</v>
      </c>
      <c r="H50" s="24" t="n">
        <f aca="false">IF(SUM($D$5:$D$137)&gt;0,D50/SUM($D$5:$D$137),0)</f>
        <v>0.00345330561644598</v>
      </c>
      <c r="I50" s="24" t="n">
        <f aca="false">SUMIF($D$5:$D$137,"&gt;="&amp;D50)/SUM($D$5:$D$137)</f>
        <v>0.905429273659748</v>
      </c>
      <c r="J50" s="3" t="str">
        <f aca="false">IF(D50&lt;=0,"C",IF(I50&lt;=Parametros!$B$4,"A",IF(I50&lt;=Parametros!$B$5,"B","C")))</f>
        <v>B</v>
      </c>
      <c r="K50" s="3" t="str">
        <f aca="false">IF(E50&lt;=0,"Z",IF(G50&lt;=Parametros!$B$6,"X",IF(G50&lt;=Parametros!$B$7,"Y","Z")))</f>
        <v>Y</v>
      </c>
      <c r="L50" s="3" t="str">
        <f aca="false">J50&amp;K50</f>
        <v>BY</v>
      </c>
      <c r="M50" s="3" t="str">
        <f aca="false">INDEX(Parametros!$B$23:$B$31,MATCH(L50,Parametros!$A$23:$A$31,0))</f>
        <v>Validar promociones y eventos con comercial.</v>
      </c>
      <c r="N50" s="3" t="str">
        <f aca="false">INDEX(Parametros!$C$23:$C$31,MATCH(L50,Parametros!$A$23:$A$31,0))</f>
        <v>Quincenal</v>
      </c>
      <c r="O50" s="23" t="n">
        <f aca="false">SUM(Datos_Semanales!M50:R50)</f>
        <v>40942.6028849725</v>
      </c>
      <c r="P50" s="24" t="n">
        <f aca="false">IF(D50&gt;0,SUMPRODUCT(ABS(Datos_Semanales!F50:K50-Datos_Semanales!M50:R50))/D50,"")</f>
        <v>0.168138275206725</v>
      </c>
      <c r="Q50" s="24" t="n">
        <f aca="false">IF(D50&gt;0,O50/D50-1,"")</f>
        <v>0.0744397964880208</v>
      </c>
      <c r="R50" s="23" t="n">
        <f aca="false">SQRT(SUMXMY2(Datos_Semanales!F50:K50,Datos_Semanales!M50:R50)/COUNT(Datos_Semanales!F50:K50))</f>
        <v>1454.05241822476</v>
      </c>
    </row>
    <row r="51" customFormat="false" ht="15" hidden="false" customHeight="false" outlineLevel="0" collapsed="false">
      <c r="A51" s="18" t="n">
        <f aca="false">Datos_Semanales!A51</f>
        <v>30000321</v>
      </c>
      <c r="B51" s="18" t="str">
        <f aca="false">Datos_Semanales!B51</f>
        <v>L POLVO LONCO S/LACT 10X800GR</v>
      </c>
      <c r="C51" s="18" t="str">
        <f aca="false">Datos_Semanales!C51</f>
        <v>LECHES EN POLVO</v>
      </c>
      <c r="D51" s="23" t="n">
        <f aca="false">SUM(Datos_Semanales!F51:K51)</f>
        <v>36792</v>
      </c>
      <c r="E51" s="23" t="n">
        <f aca="false">AVERAGE(Datos_Semanales!F51:K51)</f>
        <v>6132</v>
      </c>
      <c r="F51" s="23" t="n">
        <f aca="false">STDEV(Datos_Semanales!F51:K51)</f>
        <v>1823.89999725862</v>
      </c>
      <c r="G51" s="27" t="n">
        <f aca="false">IF(E51&gt;0,F51/E51,"")</f>
        <v>0.297439660348764</v>
      </c>
      <c r="H51" s="24" t="n">
        <f aca="false">IF(SUM($D$5:$D$137)&gt;0,D51/SUM($D$5:$D$137),0)</f>
        <v>0.0033342261124306</v>
      </c>
      <c r="I51" s="24" t="n">
        <f aca="false">SUMIF($D$5:$D$137,"&gt;="&amp;D51)/SUM($D$5:$D$137)</f>
        <v>0.908763499772179</v>
      </c>
      <c r="J51" s="3" t="str">
        <f aca="false">IF(D51&lt;=0,"C",IF(I51&lt;=Parametros!$B$4,"A",IF(I51&lt;=Parametros!$B$5,"B","C")))</f>
        <v>B</v>
      </c>
      <c r="K51" s="3" t="str">
        <f aca="false">IF(E51&lt;=0,"Z",IF(G51&lt;=Parametros!$B$6,"X",IF(G51&lt;=Parametros!$B$7,"Y","Z")))</f>
        <v>X</v>
      </c>
      <c r="L51" s="3" t="str">
        <f aca="false">J51&amp;K51</f>
        <v>BX</v>
      </c>
      <c r="M51" s="3" t="str">
        <f aca="false">INDEX(Parametros!$B$23:$B$31,MATCH(L51,Parametros!$A$23:$A$31,0))</f>
        <v>Estadístico + revisión de tendencia.</v>
      </c>
      <c r="N51" s="3" t="str">
        <f aca="false">INDEX(Parametros!$C$23:$C$31,MATCH(L51,Parametros!$A$23:$A$31,0))</f>
        <v>Mensual</v>
      </c>
      <c r="O51" s="23" t="n">
        <f aca="false">SUM(Datos_Semanales!M51:R51)</f>
        <v>35437.3230550219</v>
      </c>
      <c r="P51" s="24" t="n">
        <f aca="false">IF(D51&gt;0,SUMPRODUCT(ABS(Datos_Semanales!F51:K51-Datos_Semanales!M51:R51))/D51,"")</f>
        <v>0.0892660617791396</v>
      </c>
      <c r="Q51" s="24" t="n">
        <f aca="false">IF(D51&gt;0,O51/D51-1,"")</f>
        <v>-0.0368198778261062</v>
      </c>
      <c r="R51" s="23" t="n">
        <f aca="false">SQRT(SUMXMY2(Datos_Semanales!F51:K51,Datos_Semanales!M51:R51)/COUNT(Datos_Semanales!F51:K51))</f>
        <v>689.510700628407</v>
      </c>
    </row>
    <row r="52" customFormat="false" ht="15" hidden="false" customHeight="false" outlineLevel="0" collapsed="false">
      <c r="A52" s="18" t="n">
        <f aca="false">Datos_Semanales!A52</f>
        <v>30001487</v>
      </c>
      <c r="B52" s="18" t="str">
        <f aca="false">Datos_Semanales!B52</f>
        <v>JUGO 100% FRUTA LV WATTS MZNA 30X200ML</v>
      </c>
      <c r="C52" s="18" t="str">
        <f aca="false">Datos_Semanales!C52</f>
        <v>JUGOS Y NECTARES</v>
      </c>
      <c r="D52" s="23" t="n">
        <f aca="false">SUM(Datos_Semanales!F52:K52)</f>
        <v>36666</v>
      </c>
      <c r="E52" s="23" t="n">
        <f aca="false">AVERAGE(Datos_Semanales!F52:K52)</f>
        <v>6111</v>
      </c>
      <c r="F52" s="23" t="n">
        <f aca="false">STDEV(Datos_Semanales!F52:K52)</f>
        <v>2894.0252244927</v>
      </c>
      <c r="G52" s="27" t="n">
        <f aca="false">IF(E52&gt;0,F52/E52,"")</f>
        <v>0.473576374487432</v>
      </c>
      <c r="H52" s="24" t="n">
        <f aca="false">IF(SUM($D$5:$D$137)&gt;0,D52/SUM($D$5:$D$137),0)</f>
        <v>0.00332280752985378</v>
      </c>
      <c r="I52" s="24" t="n">
        <f aca="false">SUMIF($D$5:$D$137,"&gt;="&amp;D52)/SUM($D$5:$D$137)</f>
        <v>0.912086307302033</v>
      </c>
      <c r="J52" s="3" t="str">
        <f aca="false">IF(D52&lt;=0,"C",IF(I52&lt;=Parametros!$B$4,"A",IF(I52&lt;=Parametros!$B$5,"B","C")))</f>
        <v>B</v>
      </c>
      <c r="K52" s="3" t="str">
        <f aca="false">IF(E52&lt;=0,"Z",IF(G52&lt;=Parametros!$B$6,"X",IF(G52&lt;=Parametros!$B$7,"Y","Z")))</f>
        <v>X</v>
      </c>
      <c r="L52" s="3" t="str">
        <f aca="false">J52&amp;K52</f>
        <v>BX</v>
      </c>
      <c r="M52" s="3" t="str">
        <f aca="false">INDEX(Parametros!$B$23:$B$31,MATCH(L52,Parametros!$A$23:$A$31,0))</f>
        <v>Estadístico + revisión de tendencia.</v>
      </c>
      <c r="N52" s="3" t="str">
        <f aca="false">INDEX(Parametros!$C$23:$C$31,MATCH(L52,Parametros!$A$23:$A$31,0))</f>
        <v>Mensual</v>
      </c>
      <c r="O52" s="23" t="n">
        <f aca="false">SUM(Datos_Semanales!M52:R52)</f>
        <v>33363.773722626</v>
      </c>
      <c r="P52" s="24" t="n">
        <f aca="false">IF(D52&gt;0,SUMPRODUCT(ABS(Datos_Semanales!F52:K52-Datos_Semanales!M52:R52))/D52,"")</f>
        <v>0.260240721032401</v>
      </c>
      <c r="Q52" s="24" t="n">
        <f aca="false">IF(D52&gt;0,O52/D52-1,"")</f>
        <v>-0.0900623541530028</v>
      </c>
      <c r="R52" s="23" t="n">
        <f aca="false">SQRT(SUMXMY2(Datos_Semanales!F52:K52,Datos_Semanales!M52:R52)/COUNT(Datos_Semanales!F52:K52))</f>
        <v>2216.43960029778</v>
      </c>
    </row>
    <row r="53" customFormat="false" ht="15" hidden="false" customHeight="false" outlineLevel="0" collapsed="false">
      <c r="A53" s="18" t="n">
        <f aca="false">Datos_Semanales!A53</f>
        <v>30001574</v>
      </c>
      <c r="B53" s="18" t="str">
        <f aca="false">Datos_Semanales!B53</f>
        <v>YOGU YOGU ORIGINAL MORA LV 12x1LT</v>
      </c>
      <c r="C53" s="18" t="str">
        <f aca="false">Datos_Semanales!C53</f>
        <v>LECHES LIQUIDAS</v>
      </c>
      <c r="D53" s="23" t="n">
        <f aca="false">SUM(Datos_Semanales!F53:K53)</f>
        <v>32304</v>
      </c>
      <c r="E53" s="23" t="n">
        <f aca="false">AVERAGE(Datos_Semanales!F53:K53)</f>
        <v>5384</v>
      </c>
      <c r="F53" s="23" t="n">
        <f aca="false">STDEV(Datos_Semanales!F53:K53)</f>
        <v>1814.52803781038</v>
      </c>
      <c r="G53" s="27" t="n">
        <f aca="false">IF(E53&gt;0,F53/E53,"")</f>
        <v>0.337022295284247</v>
      </c>
      <c r="H53" s="24" t="n">
        <f aca="false">IF(SUM($D$5:$D$137)&gt;0,D53/SUM($D$5:$D$137),0)</f>
        <v>0.00292750707588492</v>
      </c>
      <c r="I53" s="24" t="n">
        <f aca="false">SUMIF($D$5:$D$137,"&gt;="&amp;D53)/SUM($D$5:$D$137)</f>
        <v>0.917941321453802</v>
      </c>
      <c r="J53" s="3" t="str">
        <f aca="false">IF(D53&lt;=0,"C",IF(I53&lt;=Parametros!$B$4,"A",IF(I53&lt;=Parametros!$B$5,"B","C")))</f>
        <v>B</v>
      </c>
      <c r="K53" s="3" t="str">
        <f aca="false">IF(E53&lt;=0,"Z",IF(G53&lt;=Parametros!$B$6,"X",IF(G53&lt;=Parametros!$B$7,"Y","Z")))</f>
        <v>X</v>
      </c>
      <c r="L53" s="3" t="str">
        <f aca="false">J53&amp;K53</f>
        <v>BX</v>
      </c>
      <c r="M53" s="3" t="str">
        <f aca="false">INDEX(Parametros!$B$23:$B$31,MATCH(L53,Parametros!$A$23:$A$31,0))</f>
        <v>Estadístico + revisión de tendencia.</v>
      </c>
      <c r="N53" s="3" t="str">
        <f aca="false">INDEX(Parametros!$C$23:$C$31,MATCH(L53,Parametros!$A$23:$A$31,0))</f>
        <v>Mensual</v>
      </c>
      <c r="O53" s="23" t="n">
        <f aca="false">SUM(Datos_Semanales!M53:R53)</f>
        <v>39219.0069387273</v>
      </c>
      <c r="P53" s="24" t="n">
        <f aca="false">IF(D53&gt;0,SUMPRODUCT(ABS(Datos_Semanales!F53:K53-Datos_Semanales!M53:R53))/D53,"")</f>
        <v>0.232200131911612</v>
      </c>
      <c r="Q53" s="24" t="n">
        <f aca="false">IF(D53&gt;0,O53/D53-1,"")</f>
        <v>0.214060393100771</v>
      </c>
      <c r="R53" s="23" t="n">
        <f aca="false">SQRT(SUMXMY2(Datos_Semanales!F53:K53,Datos_Semanales!M53:R53)/COUNT(Datos_Semanales!F53:K53))</f>
        <v>2277.13643842327</v>
      </c>
    </row>
    <row r="54" customFormat="false" ht="15" hidden="false" customHeight="false" outlineLevel="0" collapsed="false">
      <c r="A54" s="18" t="n">
        <f aca="false">Datos_Semanales!A54</f>
        <v>30002077</v>
      </c>
      <c r="B54" s="18" t="str">
        <f aca="false">Datos_Semanales!B54</f>
        <v>LECHE VAINILLA LONCO  12X1 LT</v>
      </c>
      <c r="C54" s="18" t="str">
        <f aca="false">Datos_Semanales!C54</f>
        <v>LECHES LIQUIDAS</v>
      </c>
      <c r="D54" s="23" t="n">
        <f aca="false">SUM(Datos_Semanales!F54:K54)</f>
        <v>32304</v>
      </c>
      <c r="E54" s="23" t="n">
        <f aca="false">AVERAGE(Datos_Semanales!F54:K54)</f>
        <v>5384</v>
      </c>
      <c r="F54" s="23" t="n">
        <f aca="false">STDEV(Datos_Semanales!F54:K54)</f>
        <v>3315.04787295749</v>
      </c>
      <c r="G54" s="27" t="n">
        <f aca="false">IF(E54&gt;0,F54/E54,"")</f>
        <v>0.6157221160768</v>
      </c>
      <c r="H54" s="24" t="n">
        <f aca="false">IF(SUM($D$5:$D$137)&gt;0,D54/SUM($D$5:$D$137),0)</f>
        <v>0.00292750707588492</v>
      </c>
      <c r="I54" s="24" t="n">
        <f aca="false">SUMIF($D$5:$D$137,"&gt;="&amp;D54)/SUM($D$5:$D$137)</f>
        <v>0.917941321453802</v>
      </c>
      <c r="J54" s="3" t="str">
        <f aca="false">IF(D54&lt;=0,"C",IF(I54&lt;=Parametros!$B$4,"A",IF(I54&lt;=Parametros!$B$5,"B","C")))</f>
        <v>B</v>
      </c>
      <c r="K54" s="3" t="str">
        <f aca="false">IF(E54&lt;=0,"Z",IF(G54&lt;=Parametros!$B$6,"X",IF(G54&lt;=Parametros!$B$7,"Y","Z")))</f>
        <v>Y</v>
      </c>
      <c r="L54" s="3" t="str">
        <f aca="false">J54&amp;K54</f>
        <v>BY</v>
      </c>
      <c r="M54" s="3" t="str">
        <f aca="false">INDEX(Parametros!$B$23:$B$31,MATCH(L54,Parametros!$A$23:$A$31,0))</f>
        <v>Validar promociones y eventos con comercial.</v>
      </c>
      <c r="N54" s="3" t="str">
        <f aca="false">INDEX(Parametros!$C$23:$C$31,MATCH(L54,Parametros!$A$23:$A$31,0))</f>
        <v>Quincenal</v>
      </c>
      <c r="O54" s="23" t="n">
        <f aca="false">SUM(Datos_Semanales!M54:R54)</f>
        <v>20852.8895677265</v>
      </c>
      <c r="P54" s="24" t="n">
        <f aca="false">IF(D54&gt;0,SUMPRODUCT(ABS(Datos_Semanales!F54:K54-Datos_Semanales!M54:R54))/D54,"")</f>
        <v>0.674051344168836</v>
      </c>
      <c r="Q54" s="24" t="n">
        <f aca="false">IF(D54&gt;0,O54/D54-1,"")</f>
        <v>-0.354479644386871</v>
      </c>
      <c r="R54" s="23" t="n">
        <f aca="false">SQRT(SUMXMY2(Datos_Semanales!F54:K54,Datos_Semanales!M54:R54)/COUNT(Datos_Semanales!F54:K54))</f>
        <v>4189.65607029954</v>
      </c>
    </row>
    <row r="55" customFormat="false" ht="15" hidden="false" customHeight="false" outlineLevel="0" collapsed="false">
      <c r="A55" s="18" t="n">
        <f aca="false">Datos_Semanales!A55</f>
        <v>30000328</v>
      </c>
      <c r="B55" s="18" t="str">
        <f aca="false">Datos_Semanales!B55</f>
        <v>LECHE LCO S/LACTOSA CHOCO 12X1LT</v>
      </c>
      <c r="C55" s="18" t="str">
        <f aca="false">Datos_Semanales!C55</f>
        <v>LECHES LIQUIDAS</v>
      </c>
      <c r="D55" s="23" t="n">
        <f aca="false">SUM(Datos_Semanales!F55:K55)</f>
        <v>31800</v>
      </c>
      <c r="E55" s="23" t="n">
        <f aca="false">AVERAGE(Datos_Semanales!F55:K55)</f>
        <v>5300</v>
      </c>
      <c r="F55" s="23" t="n">
        <f aca="false">STDEV(Datos_Semanales!F55:K55)</f>
        <v>1148.56153513863</v>
      </c>
      <c r="G55" s="27" t="n">
        <f aca="false">IF(E55&gt;0,F55/E55,"")</f>
        <v>0.216709723611062</v>
      </c>
      <c r="H55" s="24" t="n">
        <f aca="false">IF(SUM($D$5:$D$137)&gt;0,D55/SUM($D$5:$D$137),0)</f>
        <v>0.00288183274557765</v>
      </c>
      <c r="I55" s="24" t="n">
        <f aca="false">SUMIF($D$5:$D$137,"&gt;="&amp;D55)/SUM($D$5:$D$137)</f>
        <v>0.92082315419938</v>
      </c>
      <c r="J55" s="3" t="str">
        <f aca="false">IF(D55&lt;=0,"C",IF(I55&lt;=Parametros!$B$4,"A",IF(I55&lt;=Parametros!$B$5,"B","C")))</f>
        <v>B</v>
      </c>
      <c r="K55" s="3" t="str">
        <f aca="false">IF(E55&lt;=0,"Z",IF(G55&lt;=Parametros!$B$6,"X",IF(G55&lt;=Parametros!$B$7,"Y","Z")))</f>
        <v>X</v>
      </c>
      <c r="L55" s="3" t="str">
        <f aca="false">J55&amp;K55</f>
        <v>BX</v>
      </c>
      <c r="M55" s="3" t="str">
        <f aca="false">INDEX(Parametros!$B$23:$B$31,MATCH(L55,Parametros!$A$23:$A$31,0))</f>
        <v>Estadístico + revisión de tendencia.</v>
      </c>
      <c r="N55" s="3" t="str">
        <f aca="false">INDEX(Parametros!$C$23:$C$31,MATCH(L55,Parametros!$A$23:$A$31,0))</f>
        <v>Mensual</v>
      </c>
      <c r="O55" s="23" t="n">
        <f aca="false">SUM(Datos_Semanales!M55:R55)</f>
        <v>39970.3821005752</v>
      </c>
      <c r="P55" s="24" t="n">
        <f aca="false">IF(D55&gt;0,SUMPRODUCT(ABS(Datos_Semanales!F55:K55-Datos_Semanales!M55:R55))/D55,"")</f>
        <v>0.304563588068403</v>
      </c>
      <c r="Q55" s="24" t="n">
        <f aca="false">IF(D55&gt;0,O55/D55-1,"")</f>
        <v>0.25693025473507</v>
      </c>
      <c r="R55" s="23" t="n">
        <f aca="false">SQRT(SUMXMY2(Datos_Semanales!F55:K55,Datos_Semanales!M55:R55)/COUNT(Datos_Semanales!F55:K55))</f>
        <v>2075.56683362322</v>
      </c>
    </row>
    <row r="56" customFormat="false" ht="15" hidden="false" customHeight="false" outlineLevel="0" collapsed="false">
      <c r="A56" s="18" t="n">
        <f aca="false">Datos_Semanales!A56</f>
        <v>30002272</v>
      </c>
      <c r="B56" s="18" t="str">
        <f aca="false">Datos_Semanales!B56</f>
        <v>LECHE LONCO EXTRAPROTEIN 18X200ML</v>
      </c>
      <c r="C56" s="18" t="str">
        <f aca="false">Datos_Semanales!C56</f>
        <v>LECHES LIQUIDAS</v>
      </c>
      <c r="D56" s="23" t="n">
        <f aca="false">SUM(Datos_Semanales!F56:K56)</f>
        <v>30846</v>
      </c>
      <c r="E56" s="23" t="n">
        <f aca="false">AVERAGE(Datos_Semanales!F56:K56)</f>
        <v>5141</v>
      </c>
      <c r="F56" s="23" t="n">
        <f aca="false">STDEV(Datos_Semanales!F56:K56)</f>
        <v>2494.0071371189</v>
      </c>
      <c r="G56" s="27" t="n">
        <f aca="false">IF(E56&gt;0,F56/E56,"")</f>
        <v>0.485121014806243</v>
      </c>
      <c r="H56" s="24" t="n">
        <f aca="false">IF(SUM($D$5:$D$137)&gt;0,D56/SUM($D$5:$D$137),0)</f>
        <v>0.00279537776321032</v>
      </c>
      <c r="I56" s="24" t="n">
        <f aca="false">SUMIF($D$5:$D$137,"&gt;="&amp;D56)/SUM($D$5:$D$137)</f>
        <v>0.92361853196259</v>
      </c>
      <c r="J56" s="3" t="str">
        <f aca="false">IF(D56&lt;=0,"C",IF(I56&lt;=Parametros!$B$4,"A",IF(I56&lt;=Parametros!$B$5,"B","C")))</f>
        <v>B</v>
      </c>
      <c r="K56" s="3" t="str">
        <f aca="false">IF(E56&lt;=0,"Z",IF(G56&lt;=Parametros!$B$6,"X",IF(G56&lt;=Parametros!$B$7,"Y","Z")))</f>
        <v>X</v>
      </c>
      <c r="L56" s="3" t="str">
        <f aca="false">J56&amp;K56</f>
        <v>BX</v>
      </c>
      <c r="M56" s="3" t="str">
        <f aca="false">INDEX(Parametros!$B$23:$B$31,MATCH(L56,Parametros!$A$23:$A$31,0))</f>
        <v>Estadístico + revisión de tendencia.</v>
      </c>
      <c r="N56" s="3" t="str">
        <f aca="false">INDEX(Parametros!$C$23:$C$31,MATCH(L56,Parametros!$A$23:$A$31,0))</f>
        <v>Mensual</v>
      </c>
      <c r="O56" s="23" t="n">
        <f aca="false">SUM(Datos_Semanales!M56:R56)</f>
        <v>27887.2109719198</v>
      </c>
      <c r="P56" s="24" t="n">
        <f aca="false">IF(D56&gt;0,SUMPRODUCT(ABS(Datos_Semanales!F56:K56-Datos_Semanales!M56:R56))/D56,"")</f>
        <v>0.318316443885114</v>
      </c>
      <c r="Q56" s="24" t="n">
        <f aca="false">IF(D56&gt;0,O56/D56-1,"")</f>
        <v>-0.0959213197199066</v>
      </c>
      <c r="R56" s="23" t="n">
        <f aca="false">SQRT(SUMXMY2(Datos_Semanales!F56:K56,Datos_Semanales!M56:R56)/COUNT(Datos_Semanales!F56:K56))</f>
        <v>1756.63323609743</v>
      </c>
    </row>
    <row r="57" customFormat="false" ht="15" hidden="false" customHeight="false" outlineLevel="0" collapsed="false">
      <c r="A57" s="18" t="n">
        <f aca="false">Datos_Semanales!A57</f>
        <v>30001882</v>
      </c>
      <c r="B57" s="18" t="str">
        <f aca="false">Datos_Semanales!B57</f>
        <v>CREMA BATIR LONCO 12X500ML</v>
      </c>
      <c r="C57" s="18" t="str">
        <f aca="false">Datos_Semanales!C57</f>
        <v>CREMA</v>
      </c>
      <c r="D57" s="23" t="n">
        <f aca="false">SUM(Datos_Semanales!F57:K57)</f>
        <v>29556</v>
      </c>
      <c r="E57" s="23" t="n">
        <f aca="false">AVERAGE(Datos_Semanales!F57:K57)</f>
        <v>4926</v>
      </c>
      <c r="F57" s="23" t="n">
        <f aca="false">STDEV(Datos_Semanales!F57:K57)</f>
        <v>1152.92462893287</v>
      </c>
      <c r="G57" s="27" t="n">
        <f aca="false">IF(E57&gt;0,F57/E57,"")</f>
        <v>0.234048848748045</v>
      </c>
      <c r="H57" s="24" t="n">
        <f aca="false">IF(SUM($D$5:$D$137)&gt;0,D57/SUM($D$5:$D$137),0)</f>
        <v>0.00267847322730482</v>
      </c>
      <c r="I57" s="24" t="n">
        <f aca="false">SUMIF($D$5:$D$137,"&gt;="&amp;D57)/SUM($D$5:$D$137)</f>
        <v>0.926297005189895</v>
      </c>
      <c r="J57" s="3" t="str">
        <f aca="false">IF(D57&lt;=0,"C",IF(I57&lt;=Parametros!$B$4,"A",IF(I57&lt;=Parametros!$B$5,"B","C")))</f>
        <v>B</v>
      </c>
      <c r="K57" s="3" t="str">
        <f aca="false">IF(E57&lt;=0,"Z",IF(G57&lt;=Parametros!$B$6,"X",IF(G57&lt;=Parametros!$B$7,"Y","Z")))</f>
        <v>X</v>
      </c>
      <c r="L57" s="3" t="str">
        <f aca="false">J57&amp;K57</f>
        <v>BX</v>
      </c>
      <c r="M57" s="3" t="str">
        <f aca="false">INDEX(Parametros!$B$23:$B$31,MATCH(L57,Parametros!$A$23:$A$31,0))</f>
        <v>Estadístico + revisión de tendencia.</v>
      </c>
      <c r="N57" s="3" t="str">
        <f aca="false">INDEX(Parametros!$C$23:$C$31,MATCH(L57,Parametros!$A$23:$A$31,0))</f>
        <v>Mensual</v>
      </c>
      <c r="O57" s="23" t="n">
        <f aca="false">SUM(Datos_Semanales!M57:R57)</f>
        <v>31608.3013503147</v>
      </c>
      <c r="P57" s="24" t="n">
        <f aca="false">IF(D57&gt;0,SUMPRODUCT(ABS(Datos_Semanales!F57:K57-Datos_Semanales!M57:R57))/D57,"")</f>
        <v>0.210412144752831</v>
      </c>
      <c r="Q57" s="24" t="n">
        <f aca="false">IF(D57&gt;0,O57/D57-1,"")</f>
        <v>0.0694377233155594</v>
      </c>
      <c r="R57" s="23" t="n">
        <f aca="false">SQRT(SUMXMY2(Datos_Semanales!F57:K57,Datos_Semanales!M57:R57)/COUNT(Datos_Semanales!F57:K57))</f>
        <v>1167.64682241633</v>
      </c>
    </row>
    <row r="58" customFormat="false" ht="15" hidden="false" customHeight="false" outlineLevel="0" collapsed="false">
      <c r="A58" s="18" t="n">
        <f aca="false">Datos_Semanales!A58</f>
        <v>30000354</v>
      </c>
      <c r="B58" s="18" t="str">
        <f aca="false">Datos_Semanales!B58</f>
        <v>LECHE LCO SEMI S/LACTOS 5X6X200ML</v>
      </c>
      <c r="C58" s="18" t="str">
        <f aca="false">Datos_Semanales!C58</f>
        <v>LECHES LIQUIDAS</v>
      </c>
      <c r="D58" s="23" t="n">
        <f aca="false">SUM(Datos_Semanales!F58:K58)</f>
        <v>29292</v>
      </c>
      <c r="E58" s="23" t="n">
        <f aca="false">AVERAGE(Datos_Semanales!F58:K58)</f>
        <v>4882</v>
      </c>
      <c r="F58" s="23" t="n">
        <f aca="false">STDEV(Datos_Semanales!F58:K58)</f>
        <v>1571.82441767521</v>
      </c>
      <c r="G58" s="27" t="n">
        <f aca="false">IF(E58&gt;0,F58/E58,"")</f>
        <v>0.321963215418928</v>
      </c>
      <c r="H58" s="24" t="n">
        <f aca="false">IF(SUM($D$5:$D$137)&gt;0,D58/SUM($D$5:$D$137),0)</f>
        <v>0.00265454857809625</v>
      </c>
      <c r="I58" s="24" t="n">
        <f aca="false">SUMIF($D$5:$D$137,"&gt;="&amp;D58)/SUM($D$5:$D$137)</f>
        <v>0.928951553767991</v>
      </c>
      <c r="J58" s="3" t="str">
        <f aca="false">IF(D58&lt;=0,"C",IF(I58&lt;=Parametros!$B$4,"A",IF(I58&lt;=Parametros!$B$5,"B","C")))</f>
        <v>B</v>
      </c>
      <c r="K58" s="3" t="str">
        <f aca="false">IF(E58&lt;=0,"Z",IF(G58&lt;=Parametros!$B$6,"X",IF(G58&lt;=Parametros!$B$7,"Y","Z")))</f>
        <v>X</v>
      </c>
      <c r="L58" s="3" t="str">
        <f aca="false">J58&amp;K58</f>
        <v>BX</v>
      </c>
      <c r="M58" s="3" t="str">
        <f aca="false">INDEX(Parametros!$B$23:$B$31,MATCH(L58,Parametros!$A$23:$A$31,0))</f>
        <v>Estadístico + revisión de tendencia.</v>
      </c>
      <c r="N58" s="3" t="str">
        <f aca="false">INDEX(Parametros!$C$23:$C$31,MATCH(L58,Parametros!$A$23:$A$31,0))</f>
        <v>Mensual</v>
      </c>
      <c r="O58" s="23" t="n">
        <f aca="false">SUM(Datos_Semanales!M58:R58)</f>
        <v>31747.3398688968</v>
      </c>
      <c r="P58" s="24" t="n">
        <f aca="false">IF(D58&gt;0,SUMPRODUCT(ABS(Datos_Semanales!F58:K58-Datos_Semanales!M58:R58))/D58,"")</f>
        <v>0.231418767277864</v>
      </c>
      <c r="Q58" s="24" t="n">
        <f aca="false">IF(D58&gt;0,O58/D58-1,"")</f>
        <v>0.0838228823192957</v>
      </c>
      <c r="R58" s="23" t="n">
        <f aca="false">SQRT(SUMXMY2(Datos_Semanales!F58:K58,Datos_Semanales!M58:R58)/COUNT(Datos_Semanales!F58:K58))</f>
        <v>1342.50804004701</v>
      </c>
    </row>
    <row r="59" customFormat="false" ht="15" hidden="false" customHeight="false" outlineLevel="0" collapsed="false">
      <c r="A59" s="18" t="n">
        <f aca="false">Datos_Semanales!A59</f>
        <v>30000360</v>
      </c>
      <c r="B59" s="18" t="str">
        <f aca="false">Datos_Semanales!B59</f>
        <v>LECHE S/LACT EXTRA CALCIO 12X1LT</v>
      </c>
      <c r="C59" s="18" t="str">
        <f aca="false">Datos_Semanales!C59</f>
        <v>LECHES LIQUIDAS</v>
      </c>
      <c r="D59" s="23" t="n">
        <f aca="false">SUM(Datos_Semanales!F59:K59)</f>
        <v>27948</v>
      </c>
      <c r="E59" s="23" t="n">
        <f aca="false">AVERAGE(Datos_Semanales!F59:K59)</f>
        <v>4658</v>
      </c>
      <c r="F59" s="23" t="n">
        <f aca="false">STDEV(Datos_Semanales!F59:K59)</f>
        <v>3029.99801980133</v>
      </c>
      <c r="G59" s="27" t="n">
        <f aca="false">IF(E59&gt;0,F59/E59,"")</f>
        <v>0.650493349034206</v>
      </c>
      <c r="H59" s="24" t="n">
        <f aca="false">IF(SUM($D$5:$D$137)&gt;0,D59/SUM($D$5:$D$137),0)</f>
        <v>0.00253275036394353</v>
      </c>
      <c r="I59" s="24" t="n">
        <f aca="false">SUMIF($D$5:$D$137,"&gt;="&amp;D59)/SUM($D$5:$D$137)</f>
        <v>0.931484304131935</v>
      </c>
      <c r="J59" s="3" t="str">
        <f aca="false">IF(D59&lt;=0,"C",IF(I59&lt;=Parametros!$B$4,"A",IF(I59&lt;=Parametros!$B$5,"B","C")))</f>
        <v>B</v>
      </c>
      <c r="K59" s="3" t="str">
        <f aca="false">IF(E59&lt;=0,"Z",IF(G59&lt;=Parametros!$B$6,"X",IF(G59&lt;=Parametros!$B$7,"Y","Z")))</f>
        <v>Y</v>
      </c>
      <c r="L59" s="3" t="str">
        <f aca="false">J59&amp;K59</f>
        <v>BY</v>
      </c>
      <c r="M59" s="3" t="str">
        <f aca="false">INDEX(Parametros!$B$23:$B$31,MATCH(L59,Parametros!$A$23:$A$31,0))</f>
        <v>Validar promociones y eventos con comercial.</v>
      </c>
      <c r="N59" s="3" t="str">
        <f aca="false">INDEX(Parametros!$C$23:$C$31,MATCH(L59,Parametros!$A$23:$A$31,0))</f>
        <v>Quincenal</v>
      </c>
      <c r="O59" s="23" t="n">
        <f aca="false">SUM(Datos_Semanales!M59:R59)</f>
        <v>26303.2930692532</v>
      </c>
      <c r="P59" s="24" t="n">
        <f aca="false">IF(D59&gt;0,SUMPRODUCT(ABS(Datos_Semanales!F59:K59-Datos_Semanales!M59:R59))/D59,"")</f>
        <v>0.445976346455803</v>
      </c>
      <c r="Q59" s="24" t="n">
        <f aca="false">IF(D59&gt;0,O59/D59-1,"")</f>
        <v>-0.0588488239139395</v>
      </c>
      <c r="R59" s="23" t="n">
        <f aca="false">SQRT(SUMXMY2(Datos_Semanales!F59:K59,Datos_Semanales!M59:R59)/COUNT(Datos_Semanales!F59:K59))</f>
        <v>2673.74620796747</v>
      </c>
    </row>
    <row r="60" customFormat="false" ht="15" hidden="false" customHeight="false" outlineLevel="0" collapsed="false">
      <c r="A60" s="18" t="n">
        <f aca="false">Datos_Semanales!A60</f>
        <v>30001405</v>
      </c>
      <c r="B60" s="18" t="str">
        <f aca="false">Datos_Semanales!B60</f>
        <v>BREAK CARAMEL LONCO 18X250ML</v>
      </c>
      <c r="C60" s="18" t="str">
        <f aca="false">Datos_Semanales!C60</f>
        <v>LECHES LIQUIDAS</v>
      </c>
      <c r="D60" s="23" t="n">
        <f aca="false">SUM(Datos_Semanales!F60:K60)</f>
        <v>27688.5</v>
      </c>
      <c r="E60" s="23" t="n">
        <f aca="false">AVERAGE(Datos_Semanales!F60:K60)</f>
        <v>4614.75</v>
      </c>
      <c r="F60" s="23" t="n">
        <f aca="false">STDEV(Datos_Semanales!F60:K60)</f>
        <v>797.66990353153</v>
      </c>
      <c r="G60" s="27" t="n">
        <f aca="false">IF(E60&gt;0,F60/E60,"")</f>
        <v>0.172852246282362</v>
      </c>
      <c r="H60" s="24" t="n">
        <f aca="false">IF(SUM($D$5:$D$137)&gt;0,D60/SUM($D$5:$D$137),0)</f>
        <v>0.00250923352125556</v>
      </c>
      <c r="I60" s="24" t="n">
        <f aca="false">SUMIF($D$5:$D$137,"&gt;="&amp;D60)/SUM($D$5:$D$137)</f>
        <v>0.933993537653191</v>
      </c>
      <c r="J60" s="3" t="str">
        <f aca="false">IF(D60&lt;=0,"C",IF(I60&lt;=Parametros!$B$4,"A",IF(I60&lt;=Parametros!$B$5,"B","C")))</f>
        <v>B</v>
      </c>
      <c r="K60" s="3" t="str">
        <f aca="false">IF(E60&lt;=0,"Z",IF(G60&lt;=Parametros!$B$6,"X",IF(G60&lt;=Parametros!$B$7,"Y","Z")))</f>
        <v>X</v>
      </c>
      <c r="L60" s="3" t="str">
        <f aca="false">J60&amp;K60</f>
        <v>BX</v>
      </c>
      <c r="M60" s="3" t="str">
        <f aca="false">INDEX(Parametros!$B$23:$B$31,MATCH(L60,Parametros!$A$23:$A$31,0))</f>
        <v>Estadístico + revisión de tendencia.</v>
      </c>
      <c r="N60" s="3" t="str">
        <f aca="false">INDEX(Parametros!$C$23:$C$31,MATCH(L60,Parametros!$A$23:$A$31,0))</f>
        <v>Mensual</v>
      </c>
      <c r="O60" s="23" t="n">
        <f aca="false">SUM(Datos_Semanales!M60:R60)</f>
        <v>23879.5899476893</v>
      </c>
      <c r="P60" s="24" t="n">
        <f aca="false">IF(D60&gt;0,SUMPRODUCT(ABS(Datos_Semanales!F60:K60-Datos_Semanales!M60:R60))/D60,"")</f>
        <v>0.2234195623566</v>
      </c>
      <c r="Q60" s="24" t="n">
        <f aca="false">IF(D60&gt;0,O60/D60-1,"")</f>
        <v>-0.137562889008459</v>
      </c>
      <c r="R60" s="23" t="n">
        <f aca="false">SQRT(SUMXMY2(Datos_Semanales!F60:K60,Datos_Semanales!M60:R60)/COUNT(Datos_Semanales!F60:K60))</f>
        <v>1131.57348703454</v>
      </c>
    </row>
    <row r="61" customFormat="false" ht="15" hidden="false" customHeight="false" outlineLevel="0" collapsed="false">
      <c r="A61" s="18" t="n">
        <f aca="false">Datos_Semanales!A61</f>
        <v>30001980</v>
      </c>
      <c r="B61" s="18" t="str">
        <f aca="false">Datos_Semanales!B61</f>
        <v>FULL PRO CAPPUCCINO LONCOLECHE 18X250ML</v>
      </c>
      <c r="C61" s="18" t="str">
        <f aca="false">Datos_Semanales!C61</f>
        <v>LECHES LIQUIDAS</v>
      </c>
      <c r="D61" s="23" t="n">
        <f aca="false">SUM(Datos_Semanales!F61:K61)</f>
        <v>27360</v>
      </c>
      <c r="E61" s="23" t="n">
        <f aca="false">AVERAGE(Datos_Semanales!F61:K61)</f>
        <v>4560</v>
      </c>
      <c r="F61" s="23" t="n">
        <f aca="false">STDEV(Datos_Semanales!F61:K61)</f>
        <v>990.055907512298</v>
      </c>
      <c r="G61" s="27" t="n">
        <f aca="false">IF(E61&gt;0,F61/E61,"")</f>
        <v>0.217117523577258</v>
      </c>
      <c r="H61" s="24" t="n">
        <f aca="false">IF(SUM($D$5:$D$137)&gt;0,D61/SUM($D$5:$D$137),0)</f>
        <v>0.00247946364525172</v>
      </c>
      <c r="I61" s="24" t="n">
        <f aca="false">SUMIF($D$5:$D$137,"&gt;="&amp;D61)/SUM($D$5:$D$137)</f>
        <v>0.936473001298442</v>
      </c>
      <c r="J61" s="3" t="str">
        <f aca="false">IF(D61&lt;=0,"C",IF(I61&lt;=Parametros!$B$4,"A",IF(I61&lt;=Parametros!$B$5,"B","C")))</f>
        <v>B</v>
      </c>
      <c r="K61" s="3" t="str">
        <f aca="false">IF(E61&lt;=0,"Z",IF(G61&lt;=Parametros!$B$6,"X",IF(G61&lt;=Parametros!$B$7,"Y","Z")))</f>
        <v>X</v>
      </c>
      <c r="L61" s="3" t="str">
        <f aca="false">J61&amp;K61</f>
        <v>BX</v>
      </c>
      <c r="M61" s="3" t="str">
        <f aca="false">INDEX(Parametros!$B$23:$B$31,MATCH(L61,Parametros!$A$23:$A$31,0))</f>
        <v>Estadístico + revisión de tendencia.</v>
      </c>
      <c r="N61" s="3" t="str">
        <f aca="false">INDEX(Parametros!$C$23:$C$31,MATCH(L61,Parametros!$A$23:$A$31,0))</f>
        <v>Mensual</v>
      </c>
      <c r="O61" s="23" t="n">
        <f aca="false">SUM(Datos_Semanales!M61:R61)</f>
        <v>27630.1580623556</v>
      </c>
      <c r="P61" s="24" t="n">
        <f aca="false">IF(D61&gt;0,SUMPRODUCT(ABS(Datos_Semanales!F61:K61-Datos_Semanales!M61:R61))/D61,"")</f>
        <v>0.194632970115336</v>
      </c>
      <c r="Q61" s="24" t="n">
        <f aca="false">IF(D61&gt;0,O61/D61-1,"")</f>
        <v>0.00987419818551194</v>
      </c>
      <c r="R61" s="23" t="n">
        <f aca="false">SQRT(SUMXMY2(Datos_Semanales!F61:K61,Datos_Semanales!M61:R61)/COUNT(Datos_Semanales!F61:K61))</f>
        <v>1007.98434935443</v>
      </c>
    </row>
    <row r="62" customFormat="false" ht="15" hidden="false" customHeight="false" outlineLevel="0" collapsed="false">
      <c r="A62" s="18" t="n">
        <f aca="false">Datos_Semanales!A62</f>
        <v>30000478</v>
      </c>
      <c r="B62" s="18" t="str">
        <f aca="false">Datos_Semanales!B62</f>
        <v>CAPPUCCINO LONCOLECHE 12X1LT</v>
      </c>
      <c r="C62" s="18" t="str">
        <f aca="false">Datos_Semanales!C62</f>
        <v>LECHES LIQUIDAS</v>
      </c>
      <c r="D62" s="23" t="n">
        <f aca="false">SUM(Datos_Semanales!F62:K62)</f>
        <v>26604</v>
      </c>
      <c r="E62" s="23" t="n">
        <f aca="false">AVERAGE(Datos_Semanales!F62:K62)</f>
        <v>4434</v>
      </c>
      <c r="F62" s="23" t="n">
        <f aca="false">STDEV(Datos_Semanales!F62:K62)</f>
        <v>1215.75458049723</v>
      </c>
      <c r="G62" s="27" t="n">
        <f aca="false">IF(E62&gt;0,F62/E62,"")</f>
        <v>0.274189125055758</v>
      </c>
      <c r="H62" s="24" t="n">
        <f aca="false">IF(SUM($D$5:$D$137)&gt;0,D62/SUM($D$5:$D$137),0)</f>
        <v>0.00241095214979082</v>
      </c>
      <c r="I62" s="24" t="n">
        <f aca="false">SUMIF($D$5:$D$137,"&gt;="&amp;D62)/SUM($D$5:$D$137)</f>
        <v>0.938883953448233</v>
      </c>
      <c r="J62" s="3" t="str">
        <f aca="false">IF(D62&lt;=0,"C",IF(I62&lt;=Parametros!$B$4,"A",IF(I62&lt;=Parametros!$B$5,"B","C")))</f>
        <v>B</v>
      </c>
      <c r="K62" s="3" t="str">
        <f aca="false">IF(E62&lt;=0,"Z",IF(G62&lt;=Parametros!$B$6,"X",IF(G62&lt;=Parametros!$B$7,"Y","Z")))</f>
        <v>X</v>
      </c>
      <c r="L62" s="3" t="str">
        <f aca="false">J62&amp;K62</f>
        <v>BX</v>
      </c>
      <c r="M62" s="3" t="str">
        <f aca="false">INDEX(Parametros!$B$23:$B$31,MATCH(L62,Parametros!$A$23:$A$31,0))</f>
        <v>Estadístico + revisión de tendencia.</v>
      </c>
      <c r="N62" s="3" t="str">
        <f aca="false">INDEX(Parametros!$C$23:$C$31,MATCH(L62,Parametros!$A$23:$A$31,0))</f>
        <v>Mensual</v>
      </c>
      <c r="O62" s="23" t="n">
        <f aca="false">SUM(Datos_Semanales!M62:R62)</f>
        <v>27881.0422169855</v>
      </c>
      <c r="P62" s="24" t="n">
        <f aca="false">IF(D62&gt;0,SUMPRODUCT(ABS(Datos_Semanales!F62:K62-Datos_Semanales!M62:R62))/D62,"")</f>
        <v>0.250482550857559</v>
      </c>
      <c r="Q62" s="24" t="n">
        <f aca="false">IF(D62&gt;0,O62/D62-1,"")</f>
        <v>0.0480018875727528</v>
      </c>
      <c r="R62" s="23" t="n">
        <f aca="false">SQRT(SUMXMY2(Datos_Semanales!F62:K62,Datos_Semanales!M62:R62)/COUNT(Datos_Semanales!F62:K62))</f>
        <v>1251.10230060051</v>
      </c>
    </row>
    <row r="63" customFormat="false" ht="15" hidden="false" customHeight="false" outlineLevel="0" collapsed="false">
      <c r="A63" s="18" t="n">
        <f aca="false">Datos_Semanales!A63</f>
        <v>30000351</v>
      </c>
      <c r="B63" s="18" t="str">
        <f aca="false">Datos_Semanales!B63</f>
        <v>LECHE VAINILLA 30X200ML</v>
      </c>
      <c r="C63" s="18" t="str">
        <f aca="false">Datos_Semanales!C63</f>
        <v>LECHES LIQUIDAS</v>
      </c>
      <c r="D63" s="23" t="n">
        <f aca="false">SUM(Datos_Semanales!F63:K63)</f>
        <v>26544</v>
      </c>
      <c r="E63" s="23" t="n">
        <f aca="false">AVERAGE(Datos_Semanales!F63:K63)</f>
        <v>4424</v>
      </c>
      <c r="F63" s="23" t="n">
        <f aca="false">STDEV(Datos_Semanales!F63:K63)</f>
        <v>803.298201168159</v>
      </c>
      <c r="G63" s="27" t="n">
        <f aca="false">IF(E63&gt;0,F63/E63,"")</f>
        <v>0.181577351077794</v>
      </c>
      <c r="H63" s="24" t="n">
        <f aca="false">IF(SUM($D$5:$D$137)&gt;0,D63/SUM($D$5:$D$137),0)</f>
        <v>0.00240551472951614</v>
      </c>
      <c r="I63" s="24" t="n">
        <f aca="false">SUMIF($D$5:$D$137,"&gt;="&amp;D63)/SUM($D$5:$D$137)</f>
        <v>0.941289468177749</v>
      </c>
      <c r="J63" s="3" t="str">
        <f aca="false">IF(D63&lt;=0,"C",IF(I63&lt;=Parametros!$B$4,"A",IF(I63&lt;=Parametros!$B$5,"B","C")))</f>
        <v>B</v>
      </c>
      <c r="K63" s="3" t="str">
        <f aca="false">IF(E63&lt;=0,"Z",IF(G63&lt;=Parametros!$B$6,"X",IF(G63&lt;=Parametros!$B$7,"Y","Z")))</f>
        <v>X</v>
      </c>
      <c r="L63" s="3" t="str">
        <f aca="false">J63&amp;K63</f>
        <v>BX</v>
      </c>
      <c r="M63" s="3" t="str">
        <f aca="false">INDEX(Parametros!$B$23:$B$31,MATCH(L63,Parametros!$A$23:$A$31,0))</f>
        <v>Estadístico + revisión de tendencia.</v>
      </c>
      <c r="N63" s="3" t="str">
        <f aca="false">INDEX(Parametros!$C$23:$C$31,MATCH(L63,Parametros!$A$23:$A$31,0))</f>
        <v>Mensual</v>
      </c>
      <c r="O63" s="23" t="n">
        <f aca="false">SUM(Datos_Semanales!M63:R63)</f>
        <v>25584.5581483683</v>
      </c>
      <c r="P63" s="24" t="n">
        <f aca="false">IF(D63&gt;0,SUMPRODUCT(ABS(Datos_Semanales!F63:K63-Datos_Semanales!M63:R63))/D63,"")</f>
        <v>0.161415520258606</v>
      </c>
      <c r="Q63" s="24" t="n">
        <f aca="false">IF(D63&gt;0,O63/D63-1,"")</f>
        <v>-0.0361453379909458</v>
      </c>
      <c r="R63" s="23" t="n">
        <f aca="false">SQRT(SUMXMY2(Datos_Semanales!F63:K63,Datos_Semanales!M63:R63)/COUNT(Datos_Semanales!F63:K63))</f>
        <v>896.553569968013</v>
      </c>
    </row>
    <row r="64" customFormat="false" ht="15" hidden="false" customHeight="false" outlineLevel="0" collapsed="false">
      <c r="A64" s="18" t="n">
        <f aca="false">Datos_Semanales!A64</f>
        <v>30000245</v>
      </c>
      <c r="B64" s="18" t="str">
        <f aca="false">Datos_Semanales!B64</f>
        <v>NECTAR WATT'S MANZANA 12X1LT</v>
      </c>
      <c r="C64" s="18" t="str">
        <f aca="false">Datos_Semanales!C64</f>
        <v>JUGOS Y NECTARES</v>
      </c>
      <c r="D64" s="23" t="n">
        <f aca="false">SUM(Datos_Semanales!F64:K64)</f>
        <v>25380</v>
      </c>
      <c r="E64" s="23" t="n">
        <f aca="false">AVERAGE(Datos_Semanales!F64:K64)</f>
        <v>4230</v>
      </c>
      <c r="F64" s="23" t="n">
        <f aca="false">STDEV(Datos_Semanales!F64:K64)</f>
        <v>1953.83806903233</v>
      </c>
      <c r="G64" s="27" t="n">
        <f aca="false">IF(E64&gt;0,F64/E64,"")</f>
        <v>0.46190025272632</v>
      </c>
      <c r="H64" s="24" t="n">
        <f aca="false">IF(SUM($D$5:$D$137)&gt;0,D64/SUM($D$5:$D$137),0)</f>
        <v>0.00230002877618745</v>
      </c>
      <c r="I64" s="24" t="n">
        <f aca="false">SUMIF($D$5:$D$137,"&gt;="&amp;D64)/SUM($D$5:$D$137)</f>
        <v>0.943589496953937</v>
      </c>
      <c r="J64" s="3" t="str">
        <f aca="false">IF(D64&lt;=0,"C",IF(I64&lt;=Parametros!$B$4,"A",IF(I64&lt;=Parametros!$B$5,"B","C")))</f>
        <v>B</v>
      </c>
      <c r="K64" s="3" t="str">
        <f aca="false">IF(E64&lt;=0,"Z",IF(G64&lt;=Parametros!$B$6,"X",IF(G64&lt;=Parametros!$B$7,"Y","Z")))</f>
        <v>X</v>
      </c>
      <c r="L64" s="3" t="str">
        <f aca="false">J64&amp;K64</f>
        <v>BX</v>
      </c>
      <c r="M64" s="3" t="str">
        <f aca="false">INDEX(Parametros!$B$23:$B$31,MATCH(L64,Parametros!$A$23:$A$31,0))</f>
        <v>Estadístico + revisión de tendencia.</v>
      </c>
      <c r="N64" s="3" t="str">
        <f aca="false">INDEX(Parametros!$C$23:$C$31,MATCH(L64,Parametros!$A$23:$A$31,0))</f>
        <v>Mensual</v>
      </c>
      <c r="O64" s="23" t="n">
        <f aca="false">SUM(Datos_Semanales!M64:R64)</f>
        <v>20092.0275302319</v>
      </c>
      <c r="P64" s="24" t="n">
        <f aca="false">IF(D64&gt;0,SUMPRODUCT(ABS(Datos_Semanales!F64:K64-Datos_Semanales!M64:R64))/D64,"")</f>
        <v>0.358809001960917</v>
      </c>
      <c r="Q64" s="24" t="n">
        <f aca="false">IF(D64&gt;0,O64/D64-1,"")</f>
        <v>-0.208351949163439</v>
      </c>
      <c r="R64" s="23" t="n">
        <f aca="false">SQRT(SUMXMY2(Datos_Semanales!F64:K64,Datos_Semanales!M64:R64)/COUNT(Datos_Semanales!F64:K64))</f>
        <v>2127.55456668968</v>
      </c>
    </row>
    <row r="65" customFormat="false" ht="15" hidden="false" customHeight="false" outlineLevel="0" collapsed="false">
      <c r="A65" s="18" t="n">
        <f aca="false">Datos_Semanales!A65</f>
        <v>30002359</v>
      </c>
      <c r="B65" s="18" t="str">
        <f aca="false">Datos_Semanales!B65</f>
        <v>LECHE BON MOMENT DAN CAPPUCCINO 5X6X200ML</v>
      </c>
      <c r="C65" s="18" t="str">
        <f aca="false">Datos_Semanales!C65</f>
        <v>LECHES LIQUIDAS</v>
      </c>
      <c r="D65" s="23" t="n">
        <f aca="false">SUM(Datos_Semanales!F65:K65)</f>
        <v>24516</v>
      </c>
      <c r="E65" s="23" t="n">
        <f aca="false">AVERAGE(Datos_Semanales!F65:K65)</f>
        <v>4086</v>
      </c>
      <c r="F65" s="23" t="n">
        <f aca="false">STDEV(Datos_Semanales!F65:K65)</f>
        <v>1330.12300183103</v>
      </c>
      <c r="G65" s="27" t="n">
        <f aca="false">IF(E65&gt;0,F65/E65,"")</f>
        <v>0.32553181640505</v>
      </c>
      <c r="H65" s="24" t="n">
        <f aca="false">IF(SUM($D$5:$D$137)&gt;0,D65/SUM($D$5:$D$137),0)</f>
        <v>0.00222172992423213</v>
      </c>
      <c r="I65" s="24" t="n">
        <f aca="false">SUMIF($D$5:$D$137,"&gt;="&amp;D65)/SUM($D$5:$D$137)</f>
        <v>0.945811226878169</v>
      </c>
      <c r="J65" s="3" t="str">
        <f aca="false">IF(D65&lt;=0,"C",IF(I65&lt;=Parametros!$B$4,"A",IF(I65&lt;=Parametros!$B$5,"B","C")))</f>
        <v>B</v>
      </c>
      <c r="K65" s="3" t="str">
        <f aca="false">IF(E65&lt;=0,"Z",IF(G65&lt;=Parametros!$B$6,"X",IF(G65&lt;=Parametros!$B$7,"Y","Z")))</f>
        <v>X</v>
      </c>
      <c r="L65" s="3" t="str">
        <f aca="false">J65&amp;K65</f>
        <v>BX</v>
      </c>
      <c r="M65" s="3" t="str">
        <f aca="false">INDEX(Parametros!$B$23:$B$31,MATCH(L65,Parametros!$A$23:$A$31,0))</f>
        <v>Estadístico + revisión de tendencia.</v>
      </c>
      <c r="N65" s="3" t="str">
        <f aca="false">INDEX(Parametros!$C$23:$C$31,MATCH(L65,Parametros!$A$23:$A$31,0))</f>
        <v>Mensual</v>
      </c>
      <c r="O65" s="23" t="n">
        <f aca="false">SUM(Datos_Semanales!M65:R65)</f>
        <v>18398.1306136282</v>
      </c>
      <c r="P65" s="24" t="n">
        <f aca="false">IF(D65&gt;0,SUMPRODUCT(ABS(Datos_Semanales!F65:K65-Datos_Semanales!M65:R65))/D65,"")</f>
        <v>0.33318891280681</v>
      </c>
      <c r="Q65" s="24" t="n">
        <f aca="false">IF(D65&gt;0,O65/D65-1,"")</f>
        <v>-0.249545985738773</v>
      </c>
      <c r="R65" s="23" t="n">
        <f aca="false">SQRT(SUMXMY2(Datos_Semanales!F65:K65,Datos_Semanales!M65:R65)/COUNT(Datos_Semanales!F65:K65))</f>
        <v>1563.46497157299</v>
      </c>
    </row>
    <row r="66" customFormat="false" ht="15" hidden="false" customHeight="false" outlineLevel="0" collapsed="false">
      <c r="A66" s="18" t="n">
        <f aca="false">Datos_Semanales!A66</f>
        <v>30000006</v>
      </c>
      <c r="B66" s="18" t="str">
        <f aca="false">Datos_Semanales!B66</f>
        <v>L.UHT MOMENTS MOCA 12X1LT</v>
      </c>
      <c r="C66" s="18" t="str">
        <f aca="false">Datos_Semanales!C66</f>
        <v>LECHES LIQUIDAS</v>
      </c>
      <c r="D66" s="23" t="n">
        <f aca="false">SUM(Datos_Semanales!F66:K66)</f>
        <v>24288</v>
      </c>
      <c r="E66" s="23" t="n">
        <f aca="false">AVERAGE(Datos_Semanales!F66:K66)</f>
        <v>4048</v>
      </c>
      <c r="F66" s="23" t="n">
        <f aca="false">STDEV(Datos_Semanales!F66:K66)</f>
        <v>1260.14094449788</v>
      </c>
      <c r="G66" s="27" t="n">
        <f aca="false">IF(E66&gt;0,F66/E66,"")</f>
        <v>0.311299640439199</v>
      </c>
      <c r="H66" s="24" t="n">
        <f aca="false">IF(SUM($D$5:$D$137)&gt;0,D66/SUM($D$5:$D$137),0)</f>
        <v>0.00220106772718837</v>
      </c>
      <c r="I66" s="24" t="n">
        <f aca="false">SUMIF($D$5:$D$137,"&gt;="&amp;D66)/SUM($D$5:$D$137)</f>
        <v>0.948012294605357</v>
      </c>
      <c r="J66" s="3" t="str">
        <f aca="false">IF(D66&lt;=0,"C",IF(I66&lt;=Parametros!$B$4,"A",IF(I66&lt;=Parametros!$B$5,"B","C")))</f>
        <v>B</v>
      </c>
      <c r="K66" s="3" t="str">
        <f aca="false">IF(E66&lt;=0,"Z",IF(G66&lt;=Parametros!$B$6,"X",IF(G66&lt;=Parametros!$B$7,"Y","Z")))</f>
        <v>X</v>
      </c>
      <c r="L66" s="3" t="str">
        <f aca="false">J66&amp;K66</f>
        <v>BX</v>
      </c>
      <c r="M66" s="3" t="str">
        <f aca="false">INDEX(Parametros!$B$23:$B$31,MATCH(L66,Parametros!$A$23:$A$31,0))</f>
        <v>Estadístico + revisión de tendencia.</v>
      </c>
      <c r="N66" s="3" t="str">
        <f aca="false">INDEX(Parametros!$C$23:$C$31,MATCH(L66,Parametros!$A$23:$A$31,0))</f>
        <v>Mensual</v>
      </c>
      <c r="O66" s="23" t="n">
        <f aca="false">SUM(Datos_Semanales!M66:R66)</f>
        <v>15935.5729418196</v>
      </c>
      <c r="P66" s="24" t="n">
        <f aca="false">IF(D66&gt;0,SUMPRODUCT(ABS(Datos_Semanales!F66:K66-Datos_Semanales!M66:R66))/D66,"")</f>
        <v>0.447038646110625</v>
      </c>
      <c r="Q66" s="24" t="n">
        <f aca="false">IF(D66&gt;0,O66/D66-1,"")</f>
        <v>-0.343891100880286</v>
      </c>
      <c r="R66" s="23" t="n">
        <f aca="false">SQRT(SUMXMY2(Datos_Semanales!F66:K66,Datos_Semanales!M66:R66)/COUNT(Datos_Semanales!F66:K66))</f>
        <v>1954.26402599431</v>
      </c>
    </row>
    <row r="67" customFormat="false" ht="15" hidden="false" customHeight="false" outlineLevel="0" collapsed="false">
      <c r="A67" s="18" t="n">
        <f aca="false">Datos_Semanales!A67</f>
        <v>30000244</v>
      </c>
      <c r="B67" s="18" t="str">
        <f aca="false">Datos_Semanales!B67</f>
        <v>NECTAR WATT'S NARANJA 12X1LT</v>
      </c>
      <c r="C67" s="18" t="str">
        <f aca="false">Datos_Semanales!C67</f>
        <v>JUGOS Y NECTARES</v>
      </c>
      <c r="D67" s="23" t="n">
        <f aca="false">SUM(Datos_Semanales!F67:K67)</f>
        <v>24252</v>
      </c>
      <c r="E67" s="23" t="n">
        <f aca="false">AVERAGE(Datos_Semanales!F67:K67)</f>
        <v>4042</v>
      </c>
      <c r="F67" s="23" t="n">
        <f aca="false">STDEV(Datos_Semanales!F67:K67)</f>
        <v>924.620570828921</v>
      </c>
      <c r="G67" s="27" t="n">
        <f aca="false">IF(E67&gt;0,F67/E67,"")</f>
        <v>0.228753233752826</v>
      </c>
      <c r="H67" s="24" t="n">
        <f aca="false">IF(SUM($D$5:$D$137)&gt;0,D67/SUM($D$5:$D$137),0)</f>
        <v>0.00219780527502356</v>
      </c>
      <c r="I67" s="24" t="n">
        <f aca="false">SUMIF($D$5:$D$137,"&gt;="&amp;D67)/SUM($D$5:$D$137)</f>
        <v>0.950210099880381</v>
      </c>
      <c r="J67" s="3" t="str">
        <f aca="false">IF(D67&lt;=0,"C",IF(I67&lt;=Parametros!$B$4,"A",IF(I67&lt;=Parametros!$B$5,"B","C")))</f>
        <v>C</v>
      </c>
      <c r="K67" s="3" t="str">
        <f aca="false">IF(E67&lt;=0,"Z",IF(G67&lt;=Parametros!$B$6,"X",IF(G67&lt;=Parametros!$B$7,"Y","Z")))</f>
        <v>X</v>
      </c>
      <c r="L67" s="3" t="str">
        <f aca="false">J67&amp;K67</f>
        <v>CX</v>
      </c>
      <c r="M67" s="3" t="str">
        <f aca="false">INDEX(Parametros!$B$23:$B$31,MATCH(L67,Parametros!$A$23:$A$31,0))</f>
        <v>Reposición simple mín/máx.</v>
      </c>
      <c r="N67" s="3" t="str">
        <f aca="false">INDEX(Parametros!$C$23:$C$31,MATCH(L67,Parametros!$A$23:$A$31,0))</f>
        <v>Trimestral</v>
      </c>
      <c r="O67" s="23" t="n">
        <f aca="false">SUM(Datos_Semanales!M67:R67)</f>
        <v>32327.1729276803</v>
      </c>
      <c r="P67" s="24" t="n">
        <f aca="false">IF(D67&gt;0,SUMPRODUCT(ABS(Datos_Semanales!F67:K67-Datos_Semanales!M67:R67))/D67,"")</f>
        <v>0.357379718278093</v>
      </c>
      <c r="Q67" s="24" t="n">
        <f aca="false">IF(D67&gt;0,O67/D67-1,"")</f>
        <v>0.332969360369467</v>
      </c>
      <c r="R67" s="23" t="n">
        <f aca="false">SQRT(SUMXMY2(Datos_Semanales!F67:K67,Datos_Semanales!M67:R67)/COUNT(Datos_Semanales!F67:K67))</f>
        <v>1791.43958761353</v>
      </c>
    </row>
    <row r="68" customFormat="false" ht="15" hidden="false" customHeight="false" outlineLevel="0" collapsed="false">
      <c r="A68" s="18" t="n">
        <f aca="false">Datos_Semanales!A68</f>
        <v>30001376</v>
      </c>
      <c r="B68" s="18" t="str">
        <f aca="false">Datos_Semanales!B68</f>
        <v>FULL PROTEIN LONCO CHOCOLATE 18X250</v>
      </c>
      <c r="C68" s="18" t="str">
        <f aca="false">Datos_Semanales!C68</f>
        <v>LECHES LIQUIDAS</v>
      </c>
      <c r="D68" s="23" t="n">
        <f aca="false">SUM(Datos_Semanales!F68:K68)</f>
        <v>24250.5</v>
      </c>
      <c r="E68" s="23" t="n">
        <f aca="false">AVERAGE(Datos_Semanales!F68:K68)</f>
        <v>4041.75</v>
      </c>
      <c r="F68" s="23" t="n">
        <f aca="false">STDEV(Datos_Semanales!F68:K68)</f>
        <v>307.312991915409</v>
      </c>
      <c r="G68" s="27" t="n">
        <f aca="false">IF(E68&gt;0,F68/E68,"")</f>
        <v>0.0760346364607926</v>
      </c>
      <c r="H68" s="24" t="n">
        <f aca="false">IF(SUM($D$5:$D$137)&gt;0,D68/SUM($D$5:$D$137),0)</f>
        <v>0.0021976693395167</v>
      </c>
      <c r="I68" s="24" t="n">
        <f aca="false">SUMIF($D$5:$D$137,"&gt;="&amp;D68)/SUM($D$5:$D$137)</f>
        <v>0.952407769219897</v>
      </c>
      <c r="J68" s="3" t="str">
        <f aca="false">IF(D68&lt;=0,"C",IF(I68&lt;=Parametros!$B$4,"A",IF(I68&lt;=Parametros!$B$5,"B","C")))</f>
        <v>C</v>
      </c>
      <c r="K68" s="3" t="str">
        <f aca="false">IF(E68&lt;=0,"Z",IF(G68&lt;=Parametros!$B$6,"X",IF(G68&lt;=Parametros!$B$7,"Y","Z")))</f>
        <v>X</v>
      </c>
      <c r="L68" s="3" t="str">
        <f aca="false">J68&amp;K68</f>
        <v>CX</v>
      </c>
      <c r="M68" s="3" t="str">
        <f aca="false">INDEX(Parametros!$B$23:$B$31,MATCH(L68,Parametros!$A$23:$A$31,0))</f>
        <v>Reposición simple mín/máx.</v>
      </c>
      <c r="N68" s="3" t="str">
        <f aca="false">INDEX(Parametros!$C$23:$C$31,MATCH(L68,Parametros!$A$23:$A$31,0))</f>
        <v>Trimestral</v>
      </c>
      <c r="O68" s="23" t="n">
        <f aca="false">SUM(Datos_Semanales!M68:R68)</f>
        <v>24873.6183492121</v>
      </c>
      <c r="P68" s="24" t="n">
        <f aca="false">IF(D68&gt;0,SUMPRODUCT(ABS(Datos_Semanales!F68:K68-Datos_Semanales!M68:R68))/D68,"")</f>
        <v>0.136909274003095</v>
      </c>
      <c r="Q68" s="24" t="n">
        <f aca="false">IF(D68&gt;0,O68/D68-1,"")</f>
        <v>0.0256950722340596</v>
      </c>
      <c r="R68" s="23" t="n">
        <f aca="false">SQRT(SUMXMY2(Datos_Semanales!F68:K68,Datos_Semanales!M68:R68)/COUNT(Datos_Semanales!F68:K68))</f>
        <v>796.81424173175</v>
      </c>
    </row>
    <row r="69" customFormat="false" ht="15" hidden="false" customHeight="false" outlineLevel="0" collapsed="false">
      <c r="A69" s="18" t="n">
        <f aca="false">Datos_Semanales!A69</f>
        <v>30002228</v>
      </c>
      <c r="B69" s="18" t="str">
        <f aca="false">Datos_Semanales!B69</f>
        <v>NECTAR WATTS DAMASCO 5X10X115ML</v>
      </c>
      <c r="C69" s="18" t="str">
        <f aca="false">Datos_Semanales!C69</f>
        <v>JUGOS Y NECTARES</v>
      </c>
      <c r="D69" s="23" t="n">
        <f aca="false">SUM(Datos_Semanales!F69:K69)</f>
        <v>23575</v>
      </c>
      <c r="E69" s="23" t="n">
        <f aca="false">AVERAGE(Datos_Semanales!F69:K69)</f>
        <v>3929.16666666667</v>
      </c>
      <c r="F69" s="23" t="n">
        <f aca="false">STDEV(Datos_Semanales!F69:K69)</f>
        <v>2396.21663600491</v>
      </c>
      <c r="G69" s="27" t="n">
        <f aca="false">IF(E69&gt;0,F69/E69,"")</f>
        <v>0.609853650732956</v>
      </c>
      <c r="H69" s="24" t="n">
        <f aca="false">IF(SUM($D$5:$D$137)&gt;0,D69/SUM($D$5:$D$137),0)</f>
        <v>0.00213645304959098</v>
      </c>
      <c r="I69" s="24" t="n">
        <f aca="false">SUMIF($D$5:$D$137,"&gt;="&amp;D69)/SUM($D$5:$D$137)</f>
        <v>0.954544222269488</v>
      </c>
      <c r="J69" s="3" t="str">
        <f aca="false">IF(D69&lt;=0,"C",IF(I69&lt;=Parametros!$B$4,"A",IF(I69&lt;=Parametros!$B$5,"B","C")))</f>
        <v>C</v>
      </c>
      <c r="K69" s="3" t="str">
        <f aca="false">IF(E69&lt;=0,"Z",IF(G69&lt;=Parametros!$B$6,"X",IF(G69&lt;=Parametros!$B$7,"Y","Z")))</f>
        <v>Y</v>
      </c>
      <c r="L69" s="3" t="str">
        <f aca="false">J69&amp;K69</f>
        <v>CY</v>
      </c>
      <c r="M69" s="3" t="str">
        <f aca="false">INDEX(Parametros!$B$23:$B$31,MATCH(L69,Parametros!$A$23:$A$31,0))</f>
        <v>Mín/máx con stock bajo; evaluar continuidad del SKU.</v>
      </c>
      <c r="N69" s="3" t="str">
        <f aca="false">INDEX(Parametros!$C$23:$C$31,MATCH(L69,Parametros!$A$23:$A$31,0))</f>
        <v>Mensual</v>
      </c>
      <c r="O69" s="23" t="n">
        <f aca="false">SUM(Datos_Semanales!M69:R69)</f>
        <v>18802.1145833333</v>
      </c>
      <c r="P69" s="24" t="n">
        <f aca="false">IF(D69&gt;0,SUMPRODUCT(ABS(Datos_Semanales!F69:K69-Datos_Semanales!M69:R69))/D69,"")</f>
        <v>0.480249646518204</v>
      </c>
      <c r="Q69" s="24" t="n">
        <f aca="false">IF(D69&gt;0,O69/D69-1,"")</f>
        <v>-0.202455372923295</v>
      </c>
      <c r="R69" s="23" t="n">
        <f aca="false">SQRT(SUMXMY2(Datos_Semanales!F69:K69,Datos_Semanales!M69:R69)/COUNT(Datos_Semanales!F69:K69))</f>
        <v>2174.97394032138</v>
      </c>
    </row>
    <row r="70" customFormat="false" ht="15" hidden="false" customHeight="false" outlineLevel="0" collapsed="false">
      <c r="A70" s="18" t="n">
        <f aca="false">Datos_Semanales!A70</f>
        <v>30000307</v>
      </c>
      <c r="B70" s="18" t="str">
        <f aca="false">Datos_Semanales!B70</f>
        <v>YOGU YOGU PINA 30X200GR</v>
      </c>
      <c r="C70" s="18" t="str">
        <f aca="false">Datos_Semanales!C70</f>
        <v>LECHES LIQUIDAS</v>
      </c>
      <c r="D70" s="23" t="n">
        <f aca="false">SUM(Datos_Semanales!F70:K70)</f>
        <v>22242</v>
      </c>
      <c r="E70" s="23" t="n">
        <f aca="false">AVERAGE(Datos_Semanales!F70:K70)</f>
        <v>3707</v>
      </c>
      <c r="F70" s="23" t="n">
        <f aca="false">STDEV(Datos_Semanales!F70:K70)</f>
        <v>582.468883289056</v>
      </c>
      <c r="G70" s="27" t="n">
        <f aca="false">IF(E70&gt;0,F70/E70,"")</f>
        <v>0.157126755675494</v>
      </c>
      <c r="H70" s="24" t="n">
        <f aca="false">IF(SUM($D$5:$D$137)&gt;0,D70/SUM($D$5:$D$137),0)</f>
        <v>0.00201565169582196</v>
      </c>
      <c r="I70" s="24" t="n">
        <f aca="false">SUMIF($D$5:$D$137,"&gt;="&amp;D70)/SUM($D$5:$D$137)</f>
        <v>0.95655987396531</v>
      </c>
      <c r="J70" s="3" t="str">
        <f aca="false">IF(D70&lt;=0,"C",IF(I70&lt;=Parametros!$B$4,"A",IF(I70&lt;=Parametros!$B$5,"B","C")))</f>
        <v>C</v>
      </c>
      <c r="K70" s="3" t="str">
        <f aca="false">IF(E70&lt;=0,"Z",IF(G70&lt;=Parametros!$B$6,"X",IF(G70&lt;=Parametros!$B$7,"Y","Z")))</f>
        <v>X</v>
      </c>
      <c r="L70" s="3" t="str">
        <f aca="false">J70&amp;K70</f>
        <v>CX</v>
      </c>
      <c r="M70" s="3" t="str">
        <f aca="false">INDEX(Parametros!$B$23:$B$31,MATCH(L70,Parametros!$A$23:$A$31,0))</f>
        <v>Reposición simple mín/máx.</v>
      </c>
      <c r="N70" s="3" t="str">
        <f aca="false">INDEX(Parametros!$C$23:$C$31,MATCH(L70,Parametros!$A$23:$A$31,0))</f>
        <v>Trimestral</v>
      </c>
      <c r="O70" s="23" t="n">
        <f aca="false">SUM(Datos_Semanales!M70:R70)</f>
        <v>26413.7859967699</v>
      </c>
      <c r="P70" s="24" t="n">
        <f aca="false">IF(D70&gt;0,SUMPRODUCT(ABS(Datos_Semanales!F70:K70-Datos_Semanales!M70:R70))/D70,"")</f>
        <v>0.284640409889842</v>
      </c>
      <c r="Q70" s="24" t="n">
        <f aca="false">IF(D70&gt;0,O70/D70-1,"")</f>
        <v>0.187563438394473</v>
      </c>
      <c r="R70" s="23" t="n">
        <f aca="false">SQRT(SUMXMY2(Datos_Semanales!F70:K70,Datos_Semanales!M70:R70)/COUNT(Datos_Semanales!F70:K70))</f>
        <v>1165.11883278349</v>
      </c>
    </row>
    <row r="71" customFormat="false" ht="15" hidden="false" customHeight="false" outlineLevel="0" collapsed="false">
      <c r="A71" s="18" t="n">
        <f aca="false">Datos_Semanales!A71</f>
        <v>30000246</v>
      </c>
      <c r="B71" s="18" t="str">
        <f aca="false">Datos_Semanales!B71</f>
        <v>NECTAR WATT'S DURAZNO 12X1LT</v>
      </c>
      <c r="C71" s="18" t="str">
        <f aca="false">Datos_Semanales!C71</f>
        <v>JUGOS Y NECTARES</v>
      </c>
      <c r="D71" s="23" t="n">
        <f aca="false">SUM(Datos_Semanales!F71:K71)</f>
        <v>21540</v>
      </c>
      <c r="E71" s="23" t="n">
        <f aca="false">AVERAGE(Datos_Semanales!F71:K71)</f>
        <v>3590</v>
      </c>
      <c r="F71" s="23" t="n">
        <f aca="false">STDEV(Datos_Semanales!F71:K71)</f>
        <v>875.635540621782</v>
      </c>
      <c r="G71" s="27" t="n">
        <f aca="false">IF(E71&gt;0,F71/E71,"")</f>
        <v>0.243909621343115</v>
      </c>
      <c r="H71" s="24" t="n">
        <f aca="false">IF(SUM($D$5:$D$137)&gt;0,D71/SUM($D$5:$D$137),0)</f>
        <v>0.00195203387860826</v>
      </c>
      <c r="I71" s="24" t="n">
        <f aca="false">SUMIF($D$5:$D$137,"&gt;="&amp;D71)/SUM($D$5:$D$137)</f>
        <v>0.958511907843919</v>
      </c>
      <c r="J71" s="3" t="str">
        <f aca="false">IF(D71&lt;=0,"C",IF(I71&lt;=Parametros!$B$4,"A",IF(I71&lt;=Parametros!$B$5,"B","C")))</f>
        <v>C</v>
      </c>
      <c r="K71" s="3" t="str">
        <f aca="false">IF(E71&lt;=0,"Z",IF(G71&lt;=Parametros!$B$6,"X",IF(G71&lt;=Parametros!$B$7,"Y","Z")))</f>
        <v>X</v>
      </c>
      <c r="L71" s="3" t="str">
        <f aca="false">J71&amp;K71</f>
        <v>CX</v>
      </c>
      <c r="M71" s="3" t="str">
        <f aca="false">INDEX(Parametros!$B$23:$B$31,MATCH(L71,Parametros!$A$23:$A$31,0))</f>
        <v>Reposición simple mín/máx.</v>
      </c>
      <c r="N71" s="3" t="str">
        <f aca="false">INDEX(Parametros!$C$23:$C$31,MATCH(L71,Parametros!$A$23:$A$31,0))</f>
        <v>Trimestral</v>
      </c>
      <c r="O71" s="23" t="n">
        <f aca="false">SUM(Datos_Semanales!M71:R71)</f>
        <v>23816.1004354085</v>
      </c>
      <c r="P71" s="24" t="n">
        <f aca="false">IF(D71&gt;0,SUMPRODUCT(ABS(Datos_Semanales!F71:K71-Datos_Semanales!M71:R71))/D71,"")</f>
        <v>0.261591582422536</v>
      </c>
      <c r="Q71" s="24" t="n">
        <f aca="false">IF(D71&gt;0,O71/D71-1,"")</f>
        <v>0.105668543890831</v>
      </c>
      <c r="R71" s="23" t="n">
        <f aca="false">SQRT(SUMXMY2(Datos_Semanales!F71:K71,Datos_Semanales!M71:R71)/COUNT(Datos_Semanales!F71:K71))</f>
        <v>1011.68609560337</v>
      </c>
    </row>
    <row r="72" customFormat="false" ht="15" hidden="false" customHeight="false" outlineLevel="0" collapsed="false">
      <c r="A72" s="18" t="n">
        <f aca="false">Datos_Semanales!A72</f>
        <v>30000543</v>
      </c>
      <c r="B72" s="18" t="str">
        <f aca="false">Datos_Semanales!B72</f>
        <v>BEBIDA VEGETAL AVENA LCO 6X1LT</v>
      </c>
      <c r="C72" s="18" t="str">
        <f aca="false">Datos_Semanales!C72</f>
        <v>LECHES LIQUIDAS</v>
      </c>
      <c r="D72" s="23" t="n">
        <f aca="false">SUM(Datos_Semanales!F72:K72)</f>
        <v>20460</v>
      </c>
      <c r="E72" s="23" t="n">
        <f aca="false">AVERAGE(Datos_Semanales!F72:K72)</f>
        <v>3410</v>
      </c>
      <c r="F72" s="23" t="n">
        <f aca="false">STDEV(Datos_Semanales!F72:K72)</f>
        <v>1249.84287012408</v>
      </c>
      <c r="G72" s="27" t="n">
        <f aca="false">IF(E72&gt;0,F72/E72,"")</f>
        <v>0.366522835813513</v>
      </c>
      <c r="H72" s="24" t="n">
        <f aca="false">IF(SUM($D$5:$D$137)&gt;0,D72/SUM($D$5:$D$137),0)</f>
        <v>0.00185416031366411</v>
      </c>
      <c r="I72" s="24" t="n">
        <f aca="false">SUMIF($D$5:$D$137,"&gt;="&amp;D72)/SUM($D$5:$D$137)</f>
        <v>0.960366068157583</v>
      </c>
      <c r="J72" s="3" t="str">
        <f aca="false">IF(D72&lt;=0,"C",IF(I72&lt;=Parametros!$B$4,"A",IF(I72&lt;=Parametros!$B$5,"B","C")))</f>
        <v>C</v>
      </c>
      <c r="K72" s="3" t="str">
        <f aca="false">IF(E72&lt;=0,"Z",IF(G72&lt;=Parametros!$B$6,"X",IF(G72&lt;=Parametros!$B$7,"Y","Z")))</f>
        <v>X</v>
      </c>
      <c r="L72" s="3" t="str">
        <f aca="false">J72&amp;K72</f>
        <v>CX</v>
      </c>
      <c r="M72" s="3" t="str">
        <f aca="false">INDEX(Parametros!$B$23:$B$31,MATCH(L72,Parametros!$A$23:$A$31,0))</f>
        <v>Reposición simple mín/máx.</v>
      </c>
      <c r="N72" s="3" t="str">
        <f aca="false">INDEX(Parametros!$C$23:$C$31,MATCH(L72,Parametros!$A$23:$A$31,0))</f>
        <v>Trimestral</v>
      </c>
      <c r="O72" s="23" t="n">
        <f aca="false">SUM(Datos_Semanales!M72:R72)</f>
        <v>25767.5209315898</v>
      </c>
      <c r="P72" s="24" t="n">
        <f aca="false">IF(D72&gt;0,SUMPRODUCT(ABS(Datos_Semanales!F72:K72-Datos_Semanales!M72:R72))/D72,"")</f>
        <v>0.388939348407145</v>
      </c>
      <c r="Q72" s="24" t="n">
        <f aca="false">IF(D72&gt;0,O72/D72-1,"")</f>
        <v>0.259409625199893</v>
      </c>
      <c r="R72" s="23" t="n">
        <f aca="false">SQRT(SUMXMY2(Datos_Semanales!F72:K72,Datos_Semanales!M72:R72)/COUNT(Datos_Semanales!F72:K72))</f>
        <v>2059.45409713188</v>
      </c>
    </row>
    <row r="73" customFormat="false" ht="15" hidden="false" customHeight="false" outlineLevel="0" collapsed="false">
      <c r="A73" s="18" t="n">
        <f aca="false">Datos_Semanales!A73</f>
        <v>30000327</v>
      </c>
      <c r="B73" s="18" t="str">
        <f aca="false">Datos_Semanales!B73</f>
        <v>LECHE LCO S/LACTOSA FRUTIL 12X1LT</v>
      </c>
      <c r="C73" s="18" t="str">
        <f aca="false">Datos_Semanales!C73</f>
        <v>LECHES LIQUIDAS</v>
      </c>
      <c r="D73" s="23" t="n">
        <f aca="false">SUM(Datos_Semanales!F73:K73)</f>
        <v>20292</v>
      </c>
      <c r="E73" s="23" t="n">
        <f aca="false">AVERAGE(Datos_Semanales!F73:K73)</f>
        <v>3382</v>
      </c>
      <c r="F73" s="23" t="n">
        <f aca="false">STDEV(Datos_Semanales!F73:K73)</f>
        <v>2704.80550132537</v>
      </c>
      <c r="G73" s="27" t="n">
        <f aca="false">IF(E73&gt;0,F73/E73,"")</f>
        <v>0.799765080226308</v>
      </c>
      <c r="H73" s="24" t="n">
        <f aca="false">IF(SUM($D$5:$D$137)&gt;0,D73/SUM($D$5:$D$137),0)</f>
        <v>0.00183893553689502</v>
      </c>
      <c r="I73" s="24" t="n">
        <f aca="false">SUMIF($D$5:$D$137,"&gt;="&amp;D73)/SUM($D$5:$D$137)</f>
        <v>0.962205003694478</v>
      </c>
      <c r="J73" s="3" t="str">
        <f aca="false">IF(D73&lt;=0,"C",IF(I73&lt;=Parametros!$B$4,"A",IF(I73&lt;=Parametros!$B$5,"B","C")))</f>
        <v>C</v>
      </c>
      <c r="K73" s="3" t="str">
        <f aca="false">IF(E73&lt;=0,"Z",IF(G73&lt;=Parametros!$B$6,"X",IF(G73&lt;=Parametros!$B$7,"Y","Z")))</f>
        <v>Y</v>
      </c>
      <c r="L73" s="3" t="str">
        <f aca="false">J73&amp;K73</f>
        <v>CY</v>
      </c>
      <c r="M73" s="3" t="str">
        <f aca="false">INDEX(Parametros!$B$23:$B$31,MATCH(L73,Parametros!$A$23:$A$31,0))</f>
        <v>Mín/máx con stock bajo; evaluar continuidad del SKU.</v>
      </c>
      <c r="N73" s="3" t="str">
        <f aca="false">INDEX(Parametros!$C$23:$C$31,MATCH(L73,Parametros!$A$23:$A$31,0))</f>
        <v>Mensual</v>
      </c>
      <c r="O73" s="23" t="n">
        <f aca="false">SUM(Datos_Semanales!M73:R73)</f>
        <v>16833.4311875589</v>
      </c>
      <c r="P73" s="24" t="n">
        <f aca="false">IF(D73&gt;0,SUMPRODUCT(ABS(Datos_Semanales!F73:K73-Datos_Semanales!M73:R73))/D73,"")</f>
        <v>0.820852118448596</v>
      </c>
      <c r="Q73" s="24" t="n">
        <f aca="false">IF(D73&gt;0,O73/D73-1,"")</f>
        <v>-0.170440016382865</v>
      </c>
      <c r="R73" s="23" t="n">
        <f aca="false">SQRT(SUMXMY2(Datos_Semanales!F73:K73,Datos_Semanales!M73:R73)/COUNT(Datos_Semanales!F73:K73))</f>
        <v>3094.29174473467</v>
      </c>
    </row>
    <row r="74" customFormat="false" ht="15" hidden="false" customHeight="false" outlineLevel="0" collapsed="false">
      <c r="A74" s="18" t="n">
        <f aca="false">Datos_Semanales!A74</f>
        <v>30002180</v>
      </c>
      <c r="B74" s="18" t="str">
        <f aca="false">Datos_Semanales!B74</f>
        <v>SHAKE SHAKE MANJAR 30X190ML</v>
      </c>
      <c r="C74" s="18" t="str">
        <f aca="false">Datos_Semanales!C74</f>
        <v>LECHES LIQUIDAS</v>
      </c>
      <c r="D74" s="23" t="n">
        <f aca="false">SUM(Datos_Semanales!F74:K74)</f>
        <v>20149.5</v>
      </c>
      <c r="E74" s="23" t="n">
        <f aca="false">AVERAGE(Datos_Semanales!F74:K74)</f>
        <v>3358.25</v>
      </c>
      <c r="F74" s="23" t="n">
        <f aca="false">STDEV(Datos_Semanales!F74:K74)</f>
        <v>1446.48623463896</v>
      </c>
      <c r="G74" s="27" t="n">
        <f aca="false">IF(E74&gt;0,F74/E74,"")</f>
        <v>0.430726192105698</v>
      </c>
      <c r="H74" s="24" t="n">
        <f aca="false">IF(SUM($D$5:$D$137)&gt;0,D74/SUM($D$5:$D$137),0)</f>
        <v>0.00182602166374267</v>
      </c>
      <c r="I74" s="24" t="n">
        <f aca="false">SUMIF($D$5:$D$137,"&gt;="&amp;D74)/SUM($D$5:$D$137)</f>
        <v>0.96403102535822</v>
      </c>
      <c r="J74" s="3" t="str">
        <f aca="false">IF(D74&lt;=0,"C",IF(I74&lt;=Parametros!$B$4,"A",IF(I74&lt;=Parametros!$B$5,"B","C")))</f>
        <v>C</v>
      </c>
      <c r="K74" s="3" t="str">
        <f aca="false">IF(E74&lt;=0,"Z",IF(G74&lt;=Parametros!$B$6,"X",IF(G74&lt;=Parametros!$B$7,"Y","Z")))</f>
        <v>X</v>
      </c>
      <c r="L74" s="3" t="str">
        <f aca="false">J74&amp;K74</f>
        <v>CX</v>
      </c>
      <c r="M74" s="3" t="str">
        <f aca="false">INDEX(Parametros!$B$23:$B$31,MATCH(L74,Parametros!$A$23:$A$31,0))</f>
        <v>Reposición simple mín/máx.</v>
      </c>
      <c r="N74" s="3" t="str">
        <f aca="false">INDEX(Parametros!$C$23:$C$31,MATCH(L74,Parametros!$A$23:$A$31,0))</f>
        <v>Trimestral</v>
      </c>
      <c r="O74" s="23" t="n">
        <f aca="false">SUM(Datos_Semanales!M74:R74)</f>
        <v>25100.5860590093</v>
      </c>
      <c r="P74" s="24" t="n">
        <f aca="false">IF(D74&gt;0,SUMPRODUCT(ABS(Datos_Semanales!F74:K74-Datos_Semanales!M74:R74))/D74,"")</f>
        <v>0.411379243108231</v>
      </c>
      <c r="Q74" s="24" t="n">
        <f aca="false">IF(D74&gt;0,O74/D74-1,"")</f>
        <v>0.245717564158381</v>
      </c>
      <c r="R74" s="23" t="n">
        <f aca="false">SQRT(SUMXMY2(Datos_Semanales!F74:K74,Datos_Semanales!M74:R74)/COUNT(Datos_Semanales!F74:K74))</f>
        <v>1470.1980475724</v>
      </c>
    </row>
    <row r="75" customFormat="false" ht="15" hidden="false" customHeight="false" outlineLevel="0" collapsed="false">
      <c r="A75" s="18" t="n">
        <f aca="false">Datos_Semanales!A75</f>
        <v>30002098</v>
      </c>
      <c r="B75" s="18" t="str">
        <f aca="false">Datos_Semanales!B75</f>
        <v>MANJAR LONCOLECHE DOYPACK 12X750GR</v>
      </c>
      <c r="C75" s="18" t="str">
        <f aca="false">Datos_Semanales!C75</f>
        <v>MANJAR</v>
      </c>
      <c r="D75" s="23" t="n">
        <f aca="false">SUM(Datos_Semanales!F75:K75)</f>
        <v>20133</v>
      </c>
      <c r="E75" s="23" t="n">
        <f aca="false">AVERAGE(Datos_Semanales!F75:K75)</f>
        <v>3355.5</v>
      </c>
      <c r="F75" s="23" t="n">
        <f aca="false">STDEV(Datos_Semanales!F75:K75)</f>
        <v>1436.36635298938</v>
      </c>
      <c r="G75" s="27" t="n">
        <f aca="false">IF(E75&gt;0,F75/E75,"")</f>
        <v>0.428063285051222</v>
      </c>
      <c r="H75" s="24" t="n">
        <f aca="false">IF(SUM($D$5:$D$137)&gt;0,D75/SUM($D$5:$D$137),0)</f>
        <v>0.00182452637316714</v>
      </c>
      <c r="I75" s="24" t="n">
        <f aca="false">SUMIF($D$5:$D$137,"&gt;="&amp;D75)/SUM($D$5:$D$137)</f>
        <v>0.965855551731388</v>
      </c>
      <c r="J75" s="3" t="str">
        <f aca="false">IF(D75&lt;=0,"C",IF(I75&lt;=Parametros!$B$4,"A",IF(I75&lt;=Parametros!$B$5,"B","C")))</f>
        <v>C</v>
      </c>
      <c r="K75" s="3" t="str">
        <f aca="false">IF(E75&lt;=0,"Z",IF(G75&lt;=Parametros!$B$6,"X",IF(G75&lt;=Parametros!$B$7,"Y","Z")))</f>
        <v>X</v>
      </c>
      <c r="L75" s="3" t="str">
        <f aca="false">J75&amp;K75</f>
        <v>CX</v>
      </c>
      <c r="M75" s="3" t="str">
        <f aca="false">INDEX(Parametros!$B$23:$B$31,MATCH(L75,Parametros!$A$23:$A$31,0))</f>
        <v>Reposición simple mín/máx.</v>
      </c>
      <c r="N75" s="3" t="str">
        <f aca="false">INDEX(Parametros!$C$23:$C$31,MATCH(L75,Parametros!$A$23:$A$31,0))</f>
        <v>Trimestral</v>
      </c>
      <c r="O75" s="23" t="n">
        <f aca="false">SUM(Datos_Semanales!M75:R75)</f>
        <v>24895.6915907113</v>
      </c>
      <c r="P75" s="24" t="n">
        <f aca="false">IF(D75&gt;0,SUMPRODUCT(ABS(Datos_Semanales!F75:K75-Datos_Semanales!M75:R75))/D75,"")</f>
        <v>0.349410996409441</v>
      </c>
      <c r="Q75" s="24" t="n">
        <f aca="false">IF(D75&gt;0,O75/D75-1,"")</f>
        <v>0.236561445920194</v>
      </c>
      <c r="R75" s="23" t="n">
        <f aca="false">SQRT(SUMXMY2(Datos_Semanales!F75:K75,Datos_Semanales!M75:R75)/COUNT(Datos_Semanales!F75:K75))</f>
        <v>1323.87552952231</v>
      </c>
    </row>
    <row r="76" customFormat="false" ht="15" hidden="false" customHeight="false" outlineLevel="0" collapsed="false">
      <c r="A76" s="18" t="n">
        <f aca="false">Datos_Semanales!A76</f>
        <v>30002125</v>
      </c>
      <c r="B76" s="18" t="str">
        <f aca="false">Datos_Semanales!B76</f>
        <v>LECHE POLVO LONCO ENTERA 20X760GR</v>
      </c>
      <c r="C76" s="18" t="str">
        <f aca="false">Datos_Semanales!C76</f>
        <v>LECHES EN POLVO</v>
      </c>
      <c r="D76" s="23" t="n">
        <f aca="false">SUM(Datos_Semanales!F76:K76)</f>
        <v>19881.6</v>
      </c>
      <c r="E76" s="23" t="n">
        <f aca="false">AVERAGE(Datos_Semanales!F76:K76)</f>
        <v>3313.6</v>
      </c>
      <c r="F76" s="23" t="n">
        <f aca="false">STDEV(Datos_Semanales!F76:K76)</f>
        <v>2326.80178098608</v>
      </c>
      <c r="G76" s="27" t="n">
        <f aca="false">IF(E76&gt;0,F76/E76,"")</f>
        <v>0.702197543754853</v>
      </c>
      <c r="H76" s="24" t="n">
        <f aca="false">IF(SUM($D$5:$D$137)&gt;0,D76/SUM($D$5:$D$137),0)</f>
        <v>0.00180174358221625</v>
      </c>
      <c r="I76" s="24" t="n">
        <f aca="false">SUMIF($D$5:$D$137,"&gt;="&amp;D76)/SUM($D$5:$D$137)</f>
        <v>0.967657295313604</v>
      </c>
      <c r="J76" s="3" t="str">
        <f aca="false">IF(D76&lt;=0,"C",IF(I76&lt;=Parametros!$B$4,"A",IF(I76&lt;=Parametros!$B$5,"B","C")))</f>
        <v>C</v>
      </c>
      <c r="K76" s="3" t="str">
        <f aca="false">IF(E76&lt;=0,"Z",IF(G76&lt;=Parametros!$B$6,"X",IF(G76&lt;=Parametros!$B$7,"Y","Z")))</f>
        <v>Y</v>
      </c>
      <c r="L76" s="3" t="str">
        <f aca="false">J76&amp;K76</f>
        <v>CY</v>
      </c>
      <c r="M76" s="3" t="str">
        <f aca="false">INDEX(Parametros!$B$23:$B$31,MATCH(L76,Parametros!$A$23:$A$31,0))</f>
        <v>Mín/máx con stock bajo; evaluar continuidad del SKU.</v>
      </c>
      <c r="N76" s="3" t="str">
        <f aca="false">INDEX(Parametros!$C$23:$C$31,MATCH(L76,Parametros!$A$23:$A$31,0))</f>
        <v>Mensual</v>
      </c>
      <c r="O76" s="23" t="n">
        <f aca="false">SUM(Datos_Semanales!M76:R76)</f>
        <v>21718.5254048861</v>
      </c>
      <c r="P76" s="24" t="n">
        <f aca="false">IF(D76&gt;0,SUMPRODUCT(ABS(Datos_Semanales!F76:K76-Datos_Semanales!M76:R76))/D76,"")</f>
        <v>0.143173859492502</v>
      </c>
      <c r="Q76" s="24" t="n">
        <f aca="false">IF(D76&gt;0,O76/D76-1,"")</f>
        <v>0.092393238214536</v>
      </c>
      <c r="R76" s="23" t="n">
        <f aca="false">SQRT(SUMXMY2(Datos_Semanales!F76:K76,Datos_Semanales!M76:R76)/COUNT(Datos_Semanales!F76:K76))</f>
        <v>544.925611984479</v>
      </c>
    </row>
    <row r="77" customFormat="false" ht="15" hidden="false" customHeight="false" outlineLevel="0" collapsed="false">
      <c r="A77" s="18" t="n">
        <f aca="false">Datos_Semanales!A77</f>
        <v>30001976</v>
      </c>
      <c r="B77" s="18" t="str">
        <f aca="false">Datos_Semanales!B77</f>
        <v>BEBIDA LONCOLECHE VEGETAL SOYA 6X1LT</v>
      </c>
      <c r="C77" s="18" t="str">
        <f aca="false">Datos_Semanales!C77</f>
        <v>LECHES LIQUIDAS</v>
      </c>
      <c r="D77" s="23" t="n">
        <f aca="false">SUM(Datos_Semanales!F77:K77)</f>
        <v>19794</v>
      </c>
      <c r="E77" s="23" t="n">
        <f aca="false">AVERAGE(Datos_Semanales!F77:K77)</f>
        <v>3299</v>
      </c>
      <c r="F77" s="23" t="n">
        <f aca="false">STDEV(Datos_Semanales!F77:K77)</f>
        <v>1161.97814093037</v>
      </c>
      <c r="G77" s="27" t="n">
        <f aca="false">IF(E77&gt;0,F77/E77,"")</f>
        <v>0.352221321894626</v>
      </c>
      <c r="H77" s="24" t="n">
        <f aca="false">IF(SUM($D$5:$D$137)&gt;0,D77/SUM($D$5:$D$137),0)</f>
        <v>0.00179380494861522</v>
      </c>
      <c r="I77" s="24" t="n">
        <f aca="false">SUMIF($D$5:$D$137,"&gt;="&amp;D77)/SUM($D$5:$D$137)</f>
        <v>0.969451100262219</v>
      </c>
      <c r="J77" s="3" t="str">
        <f aca="false">IF(D77&lt;=0,"C",IF(I77&lt;=Parametros!$B$4,"A",IF(I77&lt;=Parametros!$B$5,"B","C")))</f>
        <v>C</v>
      </c>
      <c r="K77" s="3" t="str">
        <f aca="false">IF(E77&lt;=0,"Z",IF(G77&lt;=Parametros!$B$6,"X",IF(G77&lt;=Parametros!$B$7,"Y","Z")))</f>
        <v>X</v>
      </c>
      <c r="L77" s="3" t="str">
        <f aca="false">J77&amp;K77</f>
        <v>CX</v>
      </c>
      <c r="M77" s="3" t="str">
        <f aca="false">INDEX(Parametros!$B$23:$B$31,MATCH(L77,Parametros!$A$23:$A$31,0))</f>
        <v>Reposición simple mín/máx.</v>
      </c>
      <c r="N77" s="3" t="str">
        <f aca="false">INDEX(Parametros!$C$23:$C$31,MATCH(L77,Parametros!$A$23:$A$31,0))</f>
        <v>Trimestral</v>
      </c>
      <c r="O77" s="23" t="n">
        <f aca="false">SUM(Datos_Semanales!M77:R77)</f>
        <v>17744.6778794002</v>
      </c>
      <c r="P77" s="24" t="n">
        <f aca="false">IF(D77&gt;0,SUMPRODUCT(ABS(Datos_Semanales!F77:K77-Datos_Semanales!M77:R77))/D77,"")</f>
        <v>0.411908766323119</v>
      </c>
      <c r="Q77" s="24" t="n">
        <f aca="false">IF(D77&gt;0,O77/D77-1,"")</f>
        <v>-0.103532490684036</v>
      </c>
      <c r="R77" s="23" t="n">
        <f aca="false">SQRT(SUMXMY2(Datos_Semanales!F77:K77,Datos_Semanales!M77:R77)/COUNT(Datos_Semanales!F77:K77))</f>
        <v>1682.54432266297</v>
      </c>
    </row>
    <row r="78" customFormat="false" ht="15" hidden="false" customHeight="false" outlineLevel="0" collapsed="false">
      <c r="A78" s="18" t="n">
        <f aca="false">Datos_Semanales!A78</f>
        <v>30000248</v>
      </c>
      <c r="B78" s="18" t="str">
        <f aca="false">Datos_Semanales!B78</f>
        <v>NECTAR WATT'S PIÑA 12X1LT</v>
      </c>
      <c r="C78" s="18" t="str">
        <f aca="false">Datos_Semanales!C78</f>
        <v>JUGOS Y NECTARES</v>
      </c>
      <c r="D78" s="23" t="n">
        <f aca="false">SUM(Datos_Semanales!F78:K78)</f>
        <v>19716</v>
      </c>
      <c r="E78" s="23" t="n">
        <f aca="false">AVERAGE(Datos_Semanales!F78:K78)</f>
        <v>3286</v>
      </c>
      <c r="F78" s="23" t="n">
        <f aca="false">STDEV(Datos_Semanales!F78:K78)</f>
        <v>791.833315793166</v>
      </c>
      <c r="G78" s="27" t="n">
        <f aca="false">IF(E78&gt;0,F78/E78,"")</f>
        <v>0.240971794215814</v>
      </c>
      <c r="H78" s="24" t="n">
        <f aca="false">IF(SUM($D$5:$D$137)&gt;0,D78/SUM($D$5:$D$137),0)</f>
        <v>0.00178673630225815</v>
      </c>
      <c r="I78" s="24" t="n">
        <f aca="false">SUMIF($D$5:$D$137,"&gt;="&amp;D78)/SUM($D$5:$D$137)</f>
        <v>0.971237836564477</v>
      </c>
      <c r="J78" s="3" t="str">
        <f aca="false">IF(D78&lt;=0,"C",IF(I78&lt;=Parametros!$B$4,"A",IF(I78&lt;=Parametros!$B$5,"B","C")))</f>
        <v>C</v>
      </c>
      <c r="K78" s="3" t="str">
        <f aca="false">IF(E78&lt;=0,"Z",IF(G78&lt;=Parametros!$B$6,"X",IF(G78&lt;=Parametros!$B$7,"Y","Z")))</f>
        <v>X</v>
      </c>
      <c r="L78" s="3" t="str">
        <f aca="false">J78&amp;K78</f>
        <v>CX</v>
      </c>
      <c r="M78" s="3" t="str">
        <f aca="false">INDEX(Parametros!$B$23:$B$31,MATCH(L78,Parametros!$A$23:$A$31,0))</f>
        <v>Reposición simple mín/máx.</v>
      </c>
      <c r="N78" s="3" t="str">
        <f aca="false">INDEX(Parametros!$C$23:$C$31,MATCH(L78,Parametros!$A$23:$A$31,0))</f>
        <v>Trimestral</v>
      </c>
      <c r="O78" s="23" t="n">
        <f aca="false">SUM(Datos_Semanales!M78:R78)</f>
        <v>19043.8222517439</v>
      </c>
      <c r="P78" s="24" t="n">
        <f aca="false">IF(D78&gt;0,SUMPRODUCT(ABS(Datos_Semanales!F78:K78-Datos_Semanales!M78:R78))/D78,"")</f>
        <v>0.214490974739767</v>
      </c>
      <c r="Q78" s="24" t="n">
        <f aca="false">IF(D78&gt;0,O78/D78-1,"")</f>
        <v>-0.0340930081282259</v>
      </c>
      <c r="R78" s="23" t="n">
        <f aca="false">SQRT(SUMXMY2(Datos_Semanales!F78:K78,Datos_Semanales!M78:R78)/COUNT(Datos_Semanales!F78:K78))</f>
        <v>821.834454304876</v>
      </c>
    </row>
    <row r="79" customFormat="false" ht="15" hidden="false" customHeight="false" outlineLevel="0" collapsed="false">
      <c r="A79" s="18" t="n">
        <f aca="false">Datos_Semanales!A79</f>
        <v>30002292</v>
      </c>
      <c r="B79" s="18" t="str">
        <f aca="false">Datos_Semanales!B79</f>
        <v>JUGO 100% WATTS TUTTIMANGO LV 30X200ML</v>
      </c>
      <c r="C79" s="18" t="str">
        <f aca="false">Datos_Semanales!C79</f>
        <v>JUGOS Y NECTARES</v>
      </c>
      <c r="D79" s="23" t="n">
        <f aca="false">SUM(Datos_Semanales!F79:K79)</f>
        <v>19248</v>
      </c>
      <c r="E79" s="23" t="n">
        <f aca="false">AVERAGE(Datos_Semanales!F79:K79)</f>
        <v>3208</v>
      </c>
      <c r="F79" s="23" t="n">
        <f aca="false">STDEV(Datos_Semanales!F79:K79)</f>
        <v>1168.96672322184</v>
      </c>
      <c r="G79" s="27" t="n">
        <f aca="false">IF(E79&gt;0,F79/E79,"")</f>
        <v>0.364391123198827</v>
      </c>
      <c r="H79" s="24" t="n">
        <f aca="false">IF(SUM($D$5:$D$137)&gt;0,D79/SUM($D$5:$D$137),0)</f>
        <v>0.00174432442411568</v>
      </c>
      <c r="I79" s="24" t="n">
        <f aca="false">SUMIF($D$5:$D$137,"&gt;="&amp;D79)/SUM($D$5:$D$137)</f>
        <v>0.972982160988593</v>
      </c>
      <c r="J79" s="3" t="str">
        <f aca="false">IF(D79&lt;=0,"C",IF(I79&lt;=Parametros!$B$4,"A",IF(I79&lt;=Parametros!$B$5,"B","C")))</f>
        <v>C</v>
      </c>
      <c r="K79" s="3" t="str">
        <f aca="false">IF(E79&lt;=0,"Z",IF(G79&lt;=Parametros!$B$6,"X",IF(G79&lt;=Parametros!$B$7,"Y","Z")))</f>
        <v>X</v>
      </c>
      <c r="L79" s="3" t="str">
        <f aca="false">J79&amp;K79</f>
        <v>CX</v>
      </c>
      <c r="M79" s="3" t="str">
        <f aca="false">INDEX(Parametros!$B$23:$B$31,MATCH(L79,Parametros!$A$23:$A$31,0))</f>
        <v>Reposición simple mín/máx.</v>
      </c>
      <c r="N79" s="3" t="str">
        <f aca="false">INDEX(Parametros!$C$23:$C$31,MATCH(L79,Parametros!$A$23:$A$31,0))</f>
        <v>Trimestral</v>
      </c>
      <c r="O79" s="23" t="n">
        <f aca="false">SUM(Datos_Semanales!M79:R79)</f>
        <v>15919.3388841109</v>
      </c>
      <c r="P79" s="24" t="n">
        <f aca="false">IF(D79&gt;0,SUMPRODUCT(ABS(Datos_Semanales!F79:K79-Datos_Semanales!M79:R79))/D79,"")</f>
        <v>0.299036841016683</v>
      </c>
      <c r="Q79" s="24" t="n">
        <f aca="false">IF(D79&gt;0,O79/D79-1,"")</f>
        <v>-0.172935427882851</v>
      </c>
      <c r="R79" s="23" t="n">
        <f aca="false">SQRT(SUMXMY2(Datos_Semanales!F79:K79,Datos_Semanales!M79:R79)/COUNT(Datos_Semanales!F79:K79))</f>
        <v>1148.12706426143</v>
      </c>
    </row>
    <row r="80" customFormat="false" ht="15" hidden="false" customHeight="false" outlineLevel="0" collapsed="false">
      <c r="A80" s="18" t="n">
        <f aca="false">Datos_Semanales!A80</f>
        <v>30000334</v>
      </c>
      <c r="B80" s="18" t="str">
        <f aca="false">Datos_Semanales!B80</f>
        <v>CREMA PARA BATIR LONCO 12X1LT</v>
      </c>
      <c r="C80" s="18" t="str">
        <f aca="false">Datos_Semanales!C80</f>
        <v>CREMA</v>
      </c>
      <c r="D80" s="23" t="n">
        <f aca="false">SUM(Datos_Semanales!F80:K80)</f>
        <v>18876</v>
      </c>
      <c r="E80" s="23" t="n">
        <f aca="false">AVERAGE(Datos_Semanales!F80:K80)</f>
        <v>3146</v>
      </c>
      <c r="F80" s="23" t="n">
        <f aca="false">STDEV(Datos_Semanales!F80:K80)</f>
        <v>960.85212181688</v>
      </c>
      <c r="G80" s="27" t="n">
        <f aca="false">IF(E80&gt;0,F80/E80,"")</f>
        <v>0.305420254868684</v>
      </c>
      <c r="H80" s="24" t="n">
        <f aca="false">IF(SUM($D$5:$D$137)&gt;0,D80/SUM($D$5:$D$137),0)</f>
        <v>0.0017106124184127</v>
      </c>
      <c r="I80" s="24" t="n">
        <f aca="false">SUMIF($D$5:$D$137,"&gt;="&amp;D80)/SUM($D$5:$D$137)</f>
        <v>0.974692773407006</v>
      </c>
      <c r="J80" s="3" t="str">
        <f aca="false">IF(D80&lt;=0,"C",IF(I80&lt;=Parametros!$B$4,"A",IF(I80&lt;=Parametros!$B$5,"B","C")))</f>
        <v>C</v>
      </c>
      <c r="K80" s="3" t="str">
        <f aca="false">IF(E80&lt;=0,"Z",IF(G80&lt;=Parametros!$B$6,"X",IF(G80&lt;=Parametros!$B$7,"Y","Z")))</f>
        <v>X</v>
      </c>
      <c r="L80" s="3" t="str">
        <f aca="false">J80&amp;K80</f>
        <v>CX</v>
      </c>
      <c r="M80" s="3" t="str">
        <f aca="false">INDEX(Parametros!$B$23:$B$31,MATCH(L80,Parametros!$A$23:$A$31,0))</f>
        <v>Reposición simple mín/máx.</v>
      </c>
      <c r="N80" s="3" t="str">
        <f aca="false">INDEX(Parametros!$C$23:$C$31,MATCH(L80,Parametros!$A$23:$A$31,0))</f>
        <v>Trimestral</v>
      </c>
      <c r="O80" s="23" t="n">
        <f aca="false">SUM(Datos_Semanales!M80:R80)</f>
        <v>15449.4438206852</v>
      </c>
      <c r="P80" s="24" t="n">
        <f aca="false">IF(D80&gt;0,SUMPRODUCT(ABS(Datos_Semanales!F80:K80-Datos_Semanales!M80:R80))/D80,"")</f>
        <v>0.443106792789001</v>
      </c>
      <c r="Q80" s="24" t="n">
        <f aca="false">IF(D80&gt;0,O80/D80-1,"")</f>
        <v>-0.181529782756666</v>
      </c>
      <c r="R80" s="23" t="n">
        <f aca="false">SQRT(SUMXMY2(Datos_Semanales!F80:K80,Datos_Semanales!M80:R80)/COUNT(Datos_Semanales!F80:K80))</f>
        <v>1621.60986645495</v>
      </c>
    </row>
    <row r="81" customFormat="false" ht="15" hidden="false" customHeight="false" outlineLevel="0" collapsed="false">
      <c r="A81" s="18" t="n">
        <f aca="false">Datos_Semanales!A81</f>
        <v>30000421</v>
      </c>
      <c r="B81" s="18" t="str">
        <f aca="false">Datos_Semanales!B81</f>
        <v>LECHE S/LACTOSA VAINILLA 12X1LT</v>
      </c>
      <c r="C81" s="18" t="str">
        <f aca="false">Datos_Semanales!C81</f>
        <v>LECHES LIQUIDAS</v>
      </c>
      <c r="D81" s="23" t="n">
        <f aca="false">SUM(Datos_Semanales!F81:K81)</f>
        <v>16284</v>
      </c>
      <c r="E81" s="23" t="n">
        <f aca="false">AVERAGE(Datos_Semanales!F81:K81)</f>
        <v>2714</v>
      </c>
      <c r="F81" s="23" t="n">
        <f aca="false">STDEV(Datos_Semanales!F81:K81)</f>
        <v>739.356476944647</v>
      </c>
      <c r="G81" s="27" t="n">
        <f aca="false">IF(E81&gt;0,F81/E81,"")</f>
        <v>0.272423167628831</v>
      </c>
      <c r="H81" s="24" t="n">
        <f aca="false">IF(SUM($D$5:$D$137)&gt;0,D81/SUM($D$5:$D$137),0)</f>
        <v>0.00147571586254675</v>
      </c>
      <c r="I81" s="24" t="n">
        <f aca="false">SUMIF($D$5:$D$137,"&gt;="&amp;D81)/SUM($D$5:$D$137)</f>
        <v>0.976168489269553</v>
      </c>
      <c r="J81" s="3" t="str">
        <f aca="false">IF(D81&lt;=0,"C",IF(I81&lt;=Parametros!$B$4,"A",IF(I81&lt;=Parametros!$B$5,"B","C")))</f>
        <v>C</v>
      </c>
      <c r="K81" s="3" t="str">
        <f aca="false">IF(E81&lt;=0,"Z",IF(G81&lt;=Parametros!$B$6,"X",IF(G81&lt;=Parametros!$B$7,"Y","Z")))</f>
        <v>X</v>
      </c>
      <c r="L81" s="3" t="str">
        <f aca="false">J81&amp;K81</f>
        <v>CX</v>
      </c>
      <c r="M81" s="3" t="str">
        <f aca="false">INDEX(Parametros!$B$23:$B$31,MATCH(L81,Parametros!$A$23:$A$31,0))</f>
        <v>Reposición simple mín/máx.</v>
      </c>
      <c r="N81" s="3" t="str">
        <f aca="false">INDEX(Parametros!$C$23:$C$31,MATCH(L81,Parametros!$A$23:$A$31,0))</f>
        <v>Trimestral</v>
      </c>
      <c r="O81" s="23" t="n">
        <f aca="false">SUM(Datos_Semanales!M81:R81)</f>
        <v>15960.5871094778</v>
      </c>
      <c r="P81" s="24" t="n">
        <f aca="false">IF(D81&gt;0,SUMPRODUCT(ABS(Datos_Semanales!F81:K81-Datos_Semanales!M81:R81))/D81,"")</f>
        <v>0.165636677270777</v>
      </c>
      <c r="Q81" s="24" t="n">
        <f aca="false">IF(D81&gt;0,O81/D81-1,"")</f>
        <v>-0.0198607768682255</v>
      </c>
      <c r="R81" s="23" t="n">
        <f aca="false">SQRT(SUMXMY2(Datos_Semanales!F81:K81,Datos_Semanales!M81:R81)/COUNT(Datos_Semanales!F81:K81))</f>
        <v>514.109597625779</v>
      </c>
    </row>
    <row r="82" customFormat="false" ht="15" hidden="false" customHeight="false" outlineLevel="0" collapsed="false">
      <c r="A82" s="18" t="n">
        <f aca="false">Datos_Semanales!A82</f>
        <v>30002291</v>
      </c>
      <c r="B82" s="18" t="str">
        <f aca="false">Datos_Semanales!B82</f>
        <v>NECTAR WATTS PROTEINA TROPICAL SIXPACK 18X250ML</v>
      </c>
      <c r="C82" s="18" t="str">
        <f aca="false">Datos_Semanales!C82</f>
        <v>JUGOS Y NECTARES</v>
      </c>
      <c r="D82" s="23" t="n">
        <f aca="false">SUM(Datos_Semanales!F82:K82)</f>
        <v>14377.5</v>
      </c>
      <c r="E82" s="23" t="n">
        <f aca="false">AVERAGE(Datos_Semanales!F82:K82)</f>
        <v>2396.25</v>
      </c>
      <c r="F82" s="23" t="n">
        <f aca="false">STDEV(Datos_Semanales!F82:K82)</f>
        <v>936.773118209527</v>
      </c>
      <c r="G82" s="27" t="n">
        <f aca="false">IF(E82&gt;0,F82/E82,"")</f>
        <v>0.390932965345655</v>
      </c>
      <c r="H82" s="24" t="n">
        <f aca="false">IF(SUM($D$5:$D$137)&gt;0,D82/SUM($D$5:$D$137),0)</f>
        <v>0.00130294183331895</v>
      </c>
      <c r="I82" s="24" t="n">
        <f aca="false">SUMIF($D$5:$D$137,"&gt;="&amp;D82)/SUM($D$5:$D$137)</f>
        <v>0.977471431102871</v>
      </c>
      <c r="J82" s="3" t="str">
        <f aca="false">IF(D82&lt;=0,"C",IF(I82&lt;=Parametros!$B$4,"A",IF(I82&lt;=Parametros!$B$5,"B","C")))</f>
        <v>C</v>
      </c>
      <c r="K82" s="3" t="str">
        <f aca="false">IF(E82&lt;=0,"Z",IF(G82&lt;=Parametros!$B$6,"X",IF(G82&lt;=Parametros!$B$7,"Y","Z")))</f>
        <v>X</v>
      </c>
      <c r="L82" s="3" t="str">
        <f aca="false">J82&amp;K82</f>
        <v>CX</v>
      </c>
      <c r="M82" s="3" t="str">
        <f aca="false">INDEX(Parametros!$B$23:$B$31,MATCH(L82,Parametros!$A$23:$A$31,0))</f>
        <v>Reposición simple mín/máx.</v>
      </c>
      <c r="N82" s="3" t="str">
        <f aca="false">INDEX(Parametros!$C$23:$C$31,MATCH(L82,Parametros!$A$23:$A$31,0))</f>
        <v>Trimestral</v>
      </c>
      <c r="O82" s="23" t="n">
        <f aca="false">SUM(Datos_Semanales!M82:R82)</f>
        <v>8573.04021452411</v>
      </c>
      <c r="P82" s="24" t="n">
        <f aca="false">IF(D82&gt;0,SUMPRODUCT(ABS(Datos_Semanales!F82:K82-Datos_Semanales!M82:R82))/D82,"")</f>
        <v>0.615908204800842</v>
      </c>
      <c r="Q82" s="24" t="n">
        <f aca="false">IF(D82&gt;0,O82/D82-1,"")</f>
        <v>-0.403718294938334</v>
      </c>
      <c r="R82" s="23" t="n">
        <f aca="false">SQRT(SUMXMY2(Datos_Semanales!F82:K82,Datos_Semanales!M82:R82)/COUNT(Datos_Semanales!F82:K82))</f>
        <v>1606.13798703738</v>
      </c>
    </row>
    <row r="83" customFormat="false" ht="15" hidden="false" customHeight="false" outlineLevel="0" collapsed="false">
      <c r="A83" s="18" t="n">
        <f aca="false">Datos_Semanales!A83</f>
        <v>30001992</v>
      </c>
      <c r="B83" s="18" t="str">
        <f aca="false">Datos_Semanales!B83</f>
        <v>LONCOLECHE BREAK CARAMEL 12X1LT</v>
      </c>
      <c r="C83" s="18" t="str">
        <f aca="false">Datos_Semanales!C83</f>
        <v>LECHES LIQUIDAS</v>
      </c>
      <c r="D83" s="23" t="n">
        <f aca="false">SUM(Datos_Semanales!F83:K83)</f>
        <v>14160</v>
      </c>
      <c r="E83" s="23" t="n">
        <f aca="false">AVERAGE(Datos_Semanales!F83:K83)</f>
        <v>2360</v>
      </c>
      <c r="F83" s="23" t="n">
        <f aca="false">STDEV(Datos_Semanales!F83:K83)</f>
        <v>741.971428021322</v>
      </c>
      <c r="G83" s="27" t="n">
        <f aca="false">IF(E83&gt;0,F83/E83,"")</f>
        <v>0.314394672890391</v>
      </c>
      <c r="H83" s="24" t="n">
        <f aca="false">IF(SUM($D$5:$D$137)&gt;0,D83/SUM($D$5:$D$137),0)</f>
        <v>0.00128323118482326</v>
      </c>
      <c r="I83" s="24" t="n">
        <f aca="false">SUMIF($D$5:$D$137,"&gt;="&amp;D83)/SUM($D$5:$D$137)</f>
        <v>0.980037893472518</v>
      </c>
      <c r="J83" s="3" t="str">
        <f aca="false">IF(D83&lt;=0,"C",IF(I83&lt;=Parametros!$B$4,"A",IF(I83&lt;=Parametros!$B$5,"B","C")))</f>
        <v>C</v>
      </c>
      <c r="K83" s="3" t="str">
        <f aca="false">IF(E83&lt;=0,"Z",IF(G83&lt;=Parametros!$B$6,"X",IF(G83&lt;=Parametros!$B$7,"Y","Z")))</f>
        <v>X</v>
      </c>
      <c r="L83" s="3" t="str">
        <f aca="false">J83&amp;K83</f>
        <v>CX</v>
      </c>
      <c r="M83" s="3" t="str">
        <f aca="false">INDEX(Parametros!$B$23:$B$31,MATCH(L83,Parametros!$A$23:$A$31,0))</f>
        <v>Reposición simple mín/máx.</v>
      </c>
      <c r="N83" s="3" t="str">
        <f aca="false">INDEX(Parametros!$C$23:$C$31,MATCH(L83,Parametros!$A$23:$A$31,0))</f>
        <v>Trimestral</v>
      </c>
      <c r="O83" s="23" t="n">
        <f aca="false">SUM(Datos_Semanales!M83:R83)</f>
        <v>18805.5554448211</v>
      </c>
      <c r="P83" s="24" t="n">
        <f aca="false">IF(D83&gt;0,SUMPRODUCT(ABS(Datos_Semanales!F83:K83-Datos_Semanales!M83:R83))/D83,"")</f>
        <v>0.395872559662505</v>
      </c>
      <c r="Q83" s="24" t="n">
        <f aca="false">IF(D83&gt;0,O83/D83-1,"")</f>
        <v>0.328075949493013</v>
      </c>
      <c r="R83" s="23" t="n">
        <f aca="false">SQRT(SUMXMY2(Datos_Semanales!F83:K83,Datos_Semanales!M83:R83)/COUNT(Datos_Semanales!F83:K83))</f>
        <v>1115.85609768611</v>
      </c>
    </row>
    <row r="84" customFormat="false" ht="15" hidden="false" customHeight="false" outlineLevel="0" collapsed="false">
      <c r="A84" s="18" t="n">
        <f aca="false">Datos_Semanales!A84</f>
        <v>30002076</v>
      </c>
      <c r="B84" s="18" t="str">
        <f aca="false">Datos_Semanales!B84</f>
        <v>LECHE DESC CHOC LIGHT LCO 12X1</v>
      </c>
      <c r="C84" s="18" t="str">
        <f aca="false">Datos_Semanales!C84</f>
        <v>LECHES LIQUIDAS</v>
      </c>
      <c r="D84" s="23" t="n">
        <f aca="false">SUM(Datos_Semanales!F84:K84)</f>
        <v>14160</v>
      </c>
      <c r="E84" s="23" t="n">
        <f aca="false">AVERAGE(Datos_Semanales!F84:K84)</f>
        <v>2360</v>
      </c>
      <c r="F84" s="23" t="n">
        <f aca="false">STDEV(Datos_Semanales!F84:K84)</f>
        <v>2501.48244047405</v>
      </c>
      <c r="G84" s="27" t="n">
        <f aca="false">IF(E84&gt;0,F84/E84,"")</f>
        <v>1.05995018664155</v>
      </c>
      <c r="H84" s="24" t="n">
        <f aca="false">IF(SUM($D$5:$D$137)&gt;0,D84/SUM($D$5:$D$137),0)</f>
        <v>0.00128323118482326</v>
      </c>
      <c r="I84" s="24" t="n">
        <f aca="false">SUMIF($D$5:$D$137,"&gt;="&amp;D84)/SUM($D$5:$D$137)</f>
        <v>0.980037893472518</v>
      </c>
      <c r="J84" s="3" t="str">
        <f aca="false">IF(D84&lt;=0,"C",IF(I84&lt;=Parametros!$B$4,"A",IF(I84&lt;=Parametros!$B$5,"B","C")))</f>
        <v>C</v>
      </c>
      <c r="K84" s="3" t="str">
        <f aca="false">IF(E84&lt;=0,"Z",IF(G84&lt;=Parametros!$B$6,"X",IF(G84&lt;=Parametros!$B$7,"Y","Z")))</f>
        <v>Z</v>
      </c>
      <c r="L84" s="3" t="str">
        <f aca="false">J84&amp;K84</f>
        <v>CZ</v>
      </c>
      <c r="M84" s="3" t="str">
        <f aca="false">INDEX(Parametros!$B$23:$B$31,MATCH(L84,Parametros!$A$23:$A$31,0))</f>
        <v>Contra pedido o stock mínimo. Candidato a racionalizar/descontinuar.</v>
      </c>
      <c r="N84" s="3" t="str">
        <f aca="false">INDEX(Parametros!$C$23:$C$31,MATCH(L84,Parametros!$A$23:$A$31,0))</f>
        <v>Mensual</v>
      </c>
      <c r="O84" s="23" t="n">
        <f aca="false">SUM(Datos_Semanales!M84:R84)</f>
        <v>8581.88731644978</v>
      </c>
      <c r="P84" s="24" t="n">
        <f aca="false">IF(D84&gt;0,SUMPRODUCT(ABS(Datos_Semanales!F84:K84-Datos_Semanales!M84:R84))/D84,"")</f>
        <v>0.700361138167357</v>
      </c>
      <c r="Q84" s="24" t="n">
        <f aca="false">IF(D84&gt;0,O84/D84-1,"")</f>
        <v>-0.393934511550157</v>
      </c>
      <c r="R84" s="23" t="n">
        <f aca="false">SQRT(SUMXMY2(Datos_Semanales!F84:K84,Datos_Semanales!M84:R84)/COUNT(Datos_Semanales!F84:K84))</f>
        <v>2401.56468956077</v>
      </c>
    </row>
    <row r="85" customFormat="false" ht="15" hidden="false" customHeight="false" outlineLevel="0" collapsed="false">
      <c r="A85" s="18" t="n">
        <f aca="false">Datos_Semanales!A85</f>
        <v>30002358</v>
      </c>
      <c r="B85" s="18" t="str">
        <f aca="false">Datos_Semanales!B85</f>
        <v>LECHE BON MOMENT DAN MOCACCINO 5X6X200ML</v>
      </c>
      <c r="C85" s="18" t="str">
        <f aca="false">Datos_Semanales!C85</f>
        <v>LECHES LIQUIDAS</v>
      </c>
      <c r="D85" s="23" t="n">
        <f aca="false">SUM(Datos_Semanales!F85:K85)</f>
        <v>13848</v>
      </c>
      <c r="E85" s="23" t="n">
        <f aca="false">AVERAGE(Datos_Semanales!F85:K85)</f>
        <v>2308</v>
      </c>
      <c r="F85" s="23" t="n">
        <f aca="false">STDEV(Datos_Semanales!F85:K85)</f>
        <v>745.813917810602</v>
      </c>
      <c r="G85" s="27" t="n">
        <f aca="false">IF(E85&gt;0,F85/E85,"")</f>
        <v>0.323142945325218</v>
      </c>
      <c r="H85" s="24" t="n">
        <f aca="false">IF(SUM($D$5:$D$137)&gt;0,D85/SUM($D$5:$D$137),0)</f>
        <v>0.00125495659939495</v>
      </c>
      <c r="I85" s="24" t="n">
        <f aca="false">SUMIF($D$5:$D$137,"&gt;="&amp;D85)/SUM($D$5:$D$137)</f>
        <v>0.981292850071913</v>
      </c>
      <c r="J85" s="3" t="str">
        <f aca="false">IF(D85&lt;=0,"C",IF(I85&lt;=Parametros!$B$4,"A",IF(I85&lt;=Parametros!$B$5,"B","C")))</f>
        <v>C</v>
      </c>
      <c r="K85" s="3" t="str">
        <f aca="false">IF(E85&lt;=0,"Z",IF(G85&lt;=Parametros!$B$6,"X",IF(G85&lt;=Parametros!$B$7,"Y","Z")))</f>
        <v>X</v>
      </c>
      <c r="L85" s="3" t="str">
        <f aca="false">J85&amp;K85</f>
        <v>CX</v>
      </c>
      <c r="M85" s="3" t="str">
        <f aca="false">INDEX(Parametros!$B$23:$B$31,MATCH(L85,Parametros!$A$23:$A$31,0))</f>
        <v>Reposición simple mín/máx.</v>
      </c>
      <c r="N85" s="3" t="str">
        <f aca="false">INDEX(Parametros!$C$23:$C$31,MATCH(L85,Parametros!$A$23:$A$31,0))</f>
        <v>Trimestral</v>
      </c>
      <c r="O85" s="23" t="n">
        <f aca="false">SUM(Datos_Semanales!M85:R85)</f>
        <v>13435.8596479805</v>
      </c>
      <c r="P85" s="24" t="n">
        <f aca="false">IF(D85&gt;0,SUMPRODUCT(ABS(Datos_Semanales!F85:K85-Datos_Semanales!M85:R85))/D85,"")</f>
        <v>0.256417558638038</v>
      </c>
      <c r="Q85" s="24" t="n">
        <f aca="false">IF(D85&gt;0,O85/D85-1,"")</f>
        <v>-0.0297617238604524</v>
      </c>
      <c r="R85" s="23" t="n">
        <f aca="false">SQRT(SUMXMY2(Datos_Semanales!F85:K85,Datos_Semanales!M85:R85)/COUNT(Datos_Semanales!F85:K85))</f>
        <v>603.596392104976</v>
      </c>
    </row>
    <row r="86" customFormat="false" ht="15" hidden="false" customHeight="false" outlineLevel="0" collapsed="false">
      <c r="A86" s="18" t="n">
        <f aca="false">Datos_Semanales!A86</f>
        <v>30002325</v>
      </c>
      <c r="B86" s="18" t="str">
        <f aca="false">Datos_Semanales!B86</f>
        <v>NECTAR WATTS PROTEINA FRUTOS ROJOS SIXPACK 18X250ML</v>
      </c>
      <c r="C86" s="18" t="str">
        <f aca="false">Datos_Semanales!C86</f>
        <v>JUGOS Y NECTARES</v>
      </c>
      <c r="D86" s="23" t="n">
        <f aca="false">SUM(Datos_Semanales!F86:K86)</f>
        <v>12730.5</v>
      </c>
      <c r="E86" s="23" t="n">
        <f aca="false">AVERAGE(Datos_Semanales!F86:K86)</f>
        <v>2121.75</v>
      </c>
      <c r="F86" s="23" t="n">
        <f aca="false">STDEV(Datos_Semanales!F86:K86)</f>
        <v>919.264203045022</v>
      </c>
      <c r="G86" s="27" t="n">
        <f aca="false">IF(E86&gt;0,F86/E86,"")</f>
        <v>0.433257548271485</v>
      </c>
      <c r="H86" s="24" t="n">
        <f aca="false">IF(SUM($D$5:$D$137)&gt;0,D86/SUM($D$5:$D$137),0)</f>
        <v>0.00115368464677913</v>
      </c>
      <c r="I86" s="24" t="n">
        <f aca="false">SUMIF($D$5:$D$137,"&gt;="&amp;D86)/SUM($D$5:$D$137)</f>
        <v>0.982446534718692</v>
      </c>
      <c r="J86" s="3" t="str">
        <f aca="false">IF(D86&lt;=0,"C",IF(I86&lt;=Parametros!$B$4,"A",IF(I86&lt;=Parametros!$B$5,"B","C")))</f>
        <v>C</v>
      </c>
      <c r="K86" s="3" t="str">
        <f aca="false">IF(E86&lt;=0,"Z",IF(G86&lt;=Parametros!$B$6,"X",IF(G86&lt;=Parametros!$B$7,"Y","Z")))</f>
        <v>X</v>
      </c>
      <c r="L86" s="3" t="str">
        <f aca="false">J86&amp;K86</f>
        <v>CX</v>
      </c>
      <c r="M86" s="3" t="str">
        <f aca="false">INDEX(Parametros!$B$23:$B$31,MATCH(L86,Parametros!$A$23:$A$31,0))</f>
        <v>Reposición simple mín/máx.</v>
      </c>
      <c r="N86" s="3" t="str">
        <f aca="false">INDEX(Parametros!$C$23:$C$31,MATCH(L86,Parametros!$A$23:$A$31,0))</f>
        <v>Trimestral</v>
      </c>
      <c r="O86" s="23" t="n">
        <f aca="false">SUM(Datos_Semanales!M86:R86)</f>
        <v>7169.87533222102</v>
      </c>
      <c r="P86" s="24" t="n">
        <f aca="false">IF(D86&gt;0,SUMPRODUCT(ABS(Datos_Semanales!F86:K86-Datos_Semanales!M86:R86))/D86,"")</f>
        <v>0.620140240542086</v>
      </c>
      <c r="Q86" s="24" t="n">
        <f aca="false">IF(D86&gt;0,O86/D86-1,"")</f>
        <v>-0.436795465046854</v>
      </c>
      <c r="R86" s="23" t="n">
        <f aca="false">SQRT(SUMXMY2(Datos_Semanales!F86:K86,Datos_Semanales!M86:R86)/COUNT(Datos_Semanales!F86:K86))</f>
        <v>1428.72438033355</v>
      </c>
    </row>
    <row r="87" customFormat="false" ht="15" hidden="false" customHeight="false" outlineLevel="0" collapsed="false">
      <c r="A87" s="18" t="n">
        <f aca="false">Datos_Semanales!A87</f>
        <v>30002273</v>
      </c>
      <c r="B87" s="18" t="str">
        <f aca="false">Datos_Semanales!B87</f>
        <v>LECHE POLVO CALO CRECER 1+ 10X720GR</v>
      </c>
      <c r="C87" s="18" t="str">
        <f aca="false">Datos_Semanales!C87</f>
        <v>LECHES EN POLVO</v>
      </c>
      <c r="D87" s="23" t="n">
        <f aca="false">SUM(Datos_Semanales!F87:K87)</f>
        <v>11880</v>
      </c>
      <c r="E87" s="23" t="n">
        <f aca="false">AVERAGE(Datos_Semanales!F87:K87)</f>
        <v>1980</v>
      </c>
      <c r="F87" s="23" t="n">
        <f aca="false">STDEV(Datos_Semanales!F87:K87)</f>
        <v>1189.15580139862</v>
      </c>
      <c r="G87" s="27" t="n">
        <f aca="false">IF(E87&gt;0,F87/E87,"")</f>
        <v>0.600583738080113</v>
      </c>
      <c r="H87" s="24" t="n">
        <f aca="false">IF(SUM($D$5:$D$137)&gt;0,D87/SUM($D$5:$D$137),0)</f>
        <v>0.00107660921438561</v>
      </c>
      <c r="I87" s="24" t="n">
        <f aca="false">SUMIF($D$5:$D$137,"&gt;="&amp;D87)/SUM($D$5:$D$137)</f>
        <v>0.983523143933078</v>
      </c>
      <c r="J87" s="3" t="str">
        <f aca="false">IF(D87&lt;=0,"C",IF(I87&lt;=Parametros!$B$4,"A",IF(I87&lt;=Parametros!$B$5,"B","C")))</f>
        <v>C</v>
      </c>
      <c r="K87" s="3" t="str">
        <f aca="false">IF(E87&lt;=0,"Z",IF(G87&lt;=Parametros!$B$6,"X",IF(G87&lt;=Parametros!$B$7,"Y","Z")))</f>
        <v>Y</v>
      </c>
      <c r="L87" s="3" t="str">
        <f aca="false">J87&amp;K87</f>
        <v>CY</v>
      </c>
      <c r="M87" s="3" t="str">
        <f aca="false">INDEX(Parametros!$B$23:$B$31,MATCH(L87,Parametros!$A$23:$A$31,0))</f>
        <v>Mín/máx con stock bajo; evaluar continuidad del SKU.</v>
      </c>
      <c r="N87" s="3" t="str">
        <f aca="false">INDEX(Parametros!$C$23:$C$31,MATCH(L87,Parametros!$A$23:$A$31,0))</f>
        <v>Mensual</v>
      </c>
      <c r="O87" s="23" t="n">
        <f aca="false">SUM(Datos_Semanales!M87:R87)</f>
        <v>11333.1384349611</v>
      </c>
      <c r="P87" s="24" t="n">
        <f aca="false">IF(D87&gt;0,SUMPRODUCT(ABS(Datos_Semanales!F87:K87-Datos_Semanales!M87:R87))/D87,"")</f>
        <v>0.42001403746119</v>
      </c>
      <c r="Q87" s="24" t="n">
        <f aca="false">IF(D87&gt;0,O87/D87-1,"")</f>
        <v>-0.0460321182692712</v>
      </c>
      <c r="R87" s="23" t="n">
        <f aca="false">SQRT(SUMXMY2(Datos_Semanales!F87:K87,Datos_Semanales!M87:R87)/COUNT(Datos_Semanales!F87:K87))</f>
        <v>1222.73963490256</v>
      </c>
    </row>
    <row r="88" customFormat="false" ht="15" hidden="false" customHeight="false" outlineLevel="0" collapsed="false">
      <c r="A88" s="18" t="n">
        <f aca="false">Datos_Semanales!A88</f>
        <v>30000308</v>
      </c>
      <c r="B88" s="18" t="str">
        <f aca="false">Datos_Semanales!B88</f>
        <v>YOGU YOGU VAINILLA 30X200GR</v>
      </c>
      <c r="C88" s="18" t="str">
        <f aca="false">Datos_Semanales!C88</f>
        <v>LECHES LIQUIDAS</v>
      </c>
      <c r="D88" s="23" t="n">
        <f aca="false">SUM(Datos_Semanales!F88:K88)</f>
        <v>11778</v>
      </c>
      <c r="E88" s="23" t="n">
        <f aca="false">AVERAGE(Datos_Semanales!F88:K88)</f>
        <v>1963</v>
      </c>
      <c r="F88" s="23" t="n">
        <f aca="false">STDEV(Datos_Semanales!F88:K88)</f>
        <v>748.057484422153</v>
      </c>
      <c r="G88" s="27" t="n">
        <f aca="false">IF(E88&gt;0,F88/E88,"")</f>
        <v>0.381078698126415</v>
      </c>
      <c r="H88" s="24" t="n">
        <f aca="false">IF(SUM($D$5:$D$137)&gt;0,D88/SUM($D$5:$D$137),0)</f>
        <v>0.00106736559991867</v>
      </c>
      <c r="I88" s="24" t="n">
        <f aca="false">SUMIF($D$5:$D$137,"&gt;="&amp;D88)/SUM($D$5:$D$137)</f>
        <v>0.984590509532996</v>
      </c>
      <c r="J88" s="3" t="str">
        <f aca="false">IF(D88&lt;=0,"C",IF(I88&lt;=Parametros!$B$4,"A",IF(I88&lt;=Parametros!$B$5,"B","C")))</f>
        <v>C</v>
      </c>
      <c r="K88" s="3" t="str">
        <f aca="false">IF(E88&lt;=0,"Z",IF(G88&lt;=Parametros!$B$6,"X",IF(G88&lt;=Parametros!$B$7,"Y","Z")))</f>
        <v>X</v>
      </c>
      <c r="L88" s="3" t="str">
        <f aca="false">J88&amp;K88</f>
        <v>CX</v>
      </c>
      <c r="M88" s="3" t="str">
        <f aca="false">INDEX(Parametros!$B$23:$B$31,MATCH(L88,Parametros!$A$23:$A$31,0))</f>
        <v>Reposición simple mín/máx.</v>
      </c>
      <c r="N88" s="3" t="str">
        <f aca="false">INDEX(Parametros!$C$23:$C$31,MATCH(L88,Parametros!$A$23:$A$31,0))</f>
        <v>Trimestral</v>
      </c>
      <c r="O88" s="23" t="n">
        <f aca="false">SUM(Datos_Semanales!M88:R88)</f>
        <v>12287.2864114116</v>
      </c>
      <c r="P88" s="24" t="n">
        <f aca="false">IF(D88&gt;0,SUMPRODUCT(ABS(Datos_Semanales!F88:K88-Datos_Semanales!M88:R88))/D88,"")</f>
        <v>0.304914791255863</v>
      </c>
      <c r="Q88" s="24" t="n">
        <f aca="false">IF(D88&gt;0,O88/D88-1,"")</f>
        <v>0.043240483223939</v>
      </c>
      <c r="R88" s="23" t="n">
        <f aca="false">SQRT(SUMXMY2(Datos_Semanales!F88:K88,Datos_Semanales!M88:R88)/COUNT(Datos_Semanales!F88:K88))</f>
        <v>806.247333674135</v>
      </c>
    </row>
    <row r="89" customFormat="false" ht="15" hidden="false" customHeight="false" outlineLevel="0" collapsed="false">
      <c r="A89" s="18" t="n">
        <f aca="false">Datos_Semanales!A89</f>
        <v>30002262</v>
      </c>
      <c r="B89" s="18" t="str">
        <f aca="false">Datos_Semanales!B89</f>
        <v>NECTAR WATTS PROBIOTICO MANZANA 5X6X115ML</v>
      </c>
      <c r="C89" s="18" t="str">
        <f aca="false">Datos_Semanales!C89</f>
        <v>JUGOS Y NECTARES</v>
      </c>
      <c r="D89" s="23" t="n">
        <f aca="false">SUM(Datos_Semanales!F89:K89)</f>
        <v>11171.1</v>
      </c>
      <c r="E89" s="23" t="n">
        <f aca="false">AVERAGE(Datos_Semanales!F89:K89)</f>
        <v>1861.85</v>
      </c>
      <c r="F89" s="23" t="n">
        <f aca="false">STDEV(Datos_Semanales!F89:K89)</f>
        <v>1724.23346969023</v>
      </c>
      <c r="G89" s="27" t="n">
        <f aca="false">IF(E89&gt;0,F89/E89,"")</f>
        <v>0.92608613459206</v>
      </c>
      <c r="H89" s="24" t="n">
        <f aca="false">IF(SUM($D$5:$D$137)&gt;0,D89/SUM($D$5:$D$137),0)</f>
        <v>0.00101236609384033</v>
      </c>
      <c r="I89" s="24" t="n">
        <f aca="false">SUMIF($D$5:$D$137,"&gt;="&amp;D89)/SUM($D$5:$D$137)</f>
        <v>0.985602875626837</v>
      </c>
      <c r="J89" s="3" t="str">
        <f aca="false">IF(D89&lt;=0,"C",IF(I89&lt;=Parametros!$B$4,"A",IF(I89&lt;=Parametros!$B$5,"B","C")))</f>
        <v>C</v>
      </c>
      <c r="K89" s="3" t="str">
        <f aca="false">IF(E89&lt;=0,"Z",IF(G89&lt;=Parametros!$B$6,"X",IF(G89&lt;=Parametros!$B$7,"Y","Z")))</f>
        <v>Y</v>
      </c>
      <c r="L89" s="3" t="str">
        <f aca="false">J89&amp;K89</f>
        <v>CY</v>
      </c>
      <c r="M89" s="3" t="str">
        <f aca="false">INDEX(Parametros!$B$23:$B$31,MATCH(L89,Parametros!$A$23:$A$31,0))</f>
        <v>Mín/máx con stock bajo; evaluar continuidad del SKU.</v>
      </c>
      <c r="N89" s="3" t="str">
        <f aca="false">INDEX(Parametros!$C$23:$C$31,MATCH(L89,Parametros!$A$23:$A$31,0))</f>
        <v>Mensual</v>
      </c>
      <c r="O89" s="23" t="n">
        <f aca="false">SUM(Datos_Semanales!M89:R89)</f>
        <v>9541.96045519058</v>
      </c>
      <c r="P89" s="24" t="n">
        <f aca="false">IF(D89&gt;0,SUMPRODUCT(ABS(Datos_Semanales!F89:K89-Datos_Semanales!M89:R89))/D89,"")</f>
        <v>0.828744308511196</v>
      </c>
      <c r="Q89" s="24" t="n">
        <f aca="false">IF(D89&gt;0,O89/D89-1,"")</f>
        <v>-0.145835194816036</v>
      </c>
      <c r="R89" s="23" t="n">
        <f aca="false">SQRT(SUMXMY2(Datos_Semanales!F89:K89,Datos_Semanales!M89:R89)/COUNT(Datos_Semanales!F89:K89))</f>
        <v>2021.79395398608</v>
      </c>
    </row>
    <row r="90" customFormat="false" ht="15" hidden="false" customHeight="false" outlineLevel="0" collapsed="false">
      <c r="A90" s="18" t="n">
        <f aca="false">Datos_Semanales!A90</f>
        <v>30002276</v>
      </c>
      <c r="B90" s="18" t="str">
        <f aca="false">Datos_Semanales!B90</f>
        <v>LECHE POLVO CALO CRECER 4+ 10X720GR</v>
      </c>
      <c r="C90" s="18" t="str">
        <f aca="false">Datos_Semanales!C90</f>
        <v>LECHES EN POLVO</v>
      </c>
      <c r="D90" s="23" t="n">
        <f aca="false">SUM(Datos_Semanales!F90:K90)</f>
        <v>10951.2</v>
      </c>
      <c r="E90" s="23" t="n">
        <f aca="false">AVERAGE(Datos_Semanales!F90:K90)</f>
        <v>1825.2</v>
      </c>
      <c r="F90" s="23" t="n">
        <f aca="false">STDEV(Datos_Semanales!F90:K90)</f>
        <v>1308.80672369911</v>
      </c>
      <c r="G90" s="27" t="n">
        <f aca="false">IF(E90&gt;0,F90/E90,"")</f>
        <v>0.717075785502471</v>
      </c>
      <c r="H90" s="24" t="n">
        <f aca="false">IF(SUM($D$5:$D$137)&gt;0,D90/SUM($D$5:$D$137),0)</f>
        <v>0.000992437948533648</v>
      </c>
      <c r="I90" s="24" t="n">
        <f aca="false">SUMIF($D$5:$D$137,"&gt;="&amp;D90)/SUM($D$5:$D$137)</f>
        <v>0.98659531357537</v>
      </c>
      <c r="J90" s="3" t="str">
        <f aca="false">IF(D90&lt;=0,"C",IF(I90&lt;=Parametros!$B$4,"A",IF(I90&lt;=Parametros!$B$5,"B","C")))</f>
        <v>C</v>
      </c>
      <c r="K90" s="3" t="str">
        <f aca="false">IF(E90&lt;=0,"Z",IF(G90&lt;=Parametros!$B$6,"X",IF(G90&lt;=Parametros!$B$7,"Y","Z")))</f>
        <v>Y</v>
      </c>
      <c r="L90" s="3" t="str">
        <f aca="false">J90&amp;K90</f>
        <v>CY</v>
      </c>
      <c r="M90" s="3" t="str">
        <f aca="false">INDEX(Parametros!$B$23:$B$31,MATCH(L90,Parametros!$A$23:$A$31,0))</f>
        <v>Mín/máx con stock bajo; evaluar continuidad del SKU.</v>
      </c>
      <c r="N90" s="3" t="str">
        <f aca="false">INDEX(Parametros!$C$23:$C$31,MATCH(L90,Parametros!$A$23:$A$31,0))</f>
        <v>Mensual</v>
      </c>
      <c r="O90" s="23" t="n">
        <f aca="false">SUM(Datos_Semanales!M90:R90)</f>
        <v>11918.2015481062</v>
      </c>
      <c r="P90" s="24" t="n">
        <f aca="false">IF(D90&gt;0,SUMPRODUCT(ABS(Datos_Semanales!F90:K90-Datos_Semanales!M90:R90))/D90,"")</f>
        <v>0.664486225080921</v>
      </c>
      <c r="Q90" s="24" t="n">
        <f aca="false">IF(D90&gt;0,O90/D90-1,"")</f>
        <v>0.0883009668443804</v>
      </c>
      <c r="R90" s="23" t="n">
        <f aca="false">SQRT(SUMXMY2(Datos_Semanales!F90:K90,Datos_Semanales!M90:R90)/COUNT(Datos_Semanales!F90:K90))</f>
        <v>1293.29626623076</v>
      </c>
    </row>
    <row r="91" customFormat="false" ht="15" hidden="false" customHeight="false" outlineLevel="0" collapsed="false">
      <c r="A91" s="18" t="n">
        <f aca="false">Datos_Semanales!A91</f>
        <v>30002178</v>
      </c>
      <c r="B91" s="18" t="str">
        <f aca="false">Datos_Semanales!B91</f>
        <v>SHAKE SHAKE CHOCOLATE 30X190ML</v>
      </c>
      <c r="C91" s="18" t="str">
        <f aca="false">Datos_Semanales!C91</f>
        <v>LECHES LIQUIDAS</v>
      </c>
      <c r="D91" s="23" t="n">
        <f aca="false">SUM(Datos_Semanales!F91:K91)</f>
        <v>10676.1</v>
      </c>
      <c r="E91" s="23" t="n">
        <f aca="false">AVERAGE(Datos_Semanales!F91:K91)</f>
        <v>1779.35</v>
      </c>
      <c r="F91" s="23" t="n">
        <f aca="false">STDEV(Datos_Semanales!F91:K91)</f>
        <v>602.13605024114</v>
      </c>
      <c r="G91" s="27" t="n">
        <f aca="false">IF(E91&gt;0,F91/E91,"")</f>
        <v>0.338402253767465</v>
      </c>
      <c r="H91" s="24" t="n">
        <f aca="false">IF(SUM($D$5:$D$137)&gt;0,D91/SUM($D$5:$D$137),0)</f>
        <v>0.000967507376574264</v>
      </c>
      <c r="I91" s="24" t="n">
        <f aca="false">SUMIF($D$5:$D$137,"&gt;="&amp;D91)/SUM($D$5:$D$137)</f>
        <v>0.987562820951944</v>
      </c>
      <c r="J91" s="3" t="str">
        <f aca="false">IF(D91&lt;=0,"C",IF(I91&lt;=Parametros!$B$4,"A",IF(I91&lt;=Parametros!$B$5,"B","C")))</f>
        <v>C</v>
      </c>
      <c r="K91" s="3" t="str">
        <f aca="false">IF(E91&lt;=0,"Z",IF(G91&lt;=Parametros!$B$6,"X",IF(G91&lt;=Parametros!$B$7,"Y","Z")))</f>
        <v>X</v>
      </c>
      <c r="L91" s="3" t="str">
        <f aca="false">J91&amp;K91</f>
        <v>CX</v>
      </c>
      <c r="M91" s="3" t="str">
        <f aca="false">INDEX(Parametros!$B$23:$B$31,MATCH(L91,Parametros!$A$23:$A$31,0))</f>
        <v>Reposición simple mín/máx.</v>
      </c>
      <c r="N91" s="3" t="str">
        <f aca="false">INDEX(Parametros!$C$23:$C$31,MATCH(L91,Parametros!$A$23:$A$31,0))</f>
        <v>Trimestral</v>
      </c>
      <c r="O91" s="23" t="n">
        <f aca="false">SUM(Datos_Semanales!M91:R91)</f>
        <v>11444.5485197284</v>
      </c>
      <c r="P91" s="24" t="n">
        <f aca="false">IF(D91&gt;0,SUMPRODUCT(ABS(Datos_Semanales!F91:K91-Datos_Semanales!M91:R91))/D91,"")</f>
        <v>0.340499156084299</v>
      </c>
      <c r="Q91" s="24" t="n">
        <f aca="false">IF(D91&gt;0,O91/D91-1,"")</f>
        <v>0.0719783928333773</v>
      </c>
      <c r="R91" s="23" t="n">
        <f aca="false">SQRT(SUMXMY2(Datos_Semanales!F91:K91,Datos_Semanales!M91:R91)/COUNT(Datos_Semanales!F91:K91))</f>
        <v>648.64718593534</v>
      </c>
    </row>
    <row r="92" customFormat="false" ht="15" hidden="false" customHeight="false" outlineLevel="0" collapsed="false">
      <c r="A92" s="18" t="n">
        <f aca="false">Datos_Semanales!A92</f>
        <v>30002326</v>
      </c>
      <c r="B92" s="18" t="str">
        <f aca="false">Datos_Semanales!B92</f>
        <v>CREMA LISTA S/LACT LONCO 18X250ML</v>
      </c>
      <c r="C92" s="18" t="str">
        <f aca="false">Datos_Semanales!C92</f>
        <v>CREMA</v>
      </c>
      <c r="D92" s="23" t="n">
        <f aca="false">SUM(Datos_Semanales!F92:K92)</f>
        <v>10323</v>
      </c>
      <c r="E92" s="23" t="n">
        <f aca="false">AVERAGE(Datos_Semanales!F92:K92)</f>
        <v>1720.5</v>
      </c>
      <c r="F92" s="23" t="n">
        <f aca="false">STDEV(Datos_Semanales!F92:K92)</f>
        <v>3537.08206011679</v>
      </c>
      <c r="G92" s="27" t="n">
        <f aca="false">IF(E92&gt;0,F92/E92,"")</f>
        <v>2.05584542872234</v>
      </c>
      <c r="H92" s="24" t="n">
        <f aca="false">IF(SUM($D$5:$D$137)&gt;0,D92/SUM($D$5:$D$137),0)</f>
        <v>0.000935508158257803</v>
      </c>
      <c r="I92" s="24" t="n">
        <f aca="false">SUMIF($D$5:$D$137,"&gt;="&amp;D92)/SUM($D$5:$D$137)</f>
        <v>0.988498329110202</v>
      </c>
      <c r="J92" s="3" t="str">
        <f aca="false">IF(D92&lt;=0,"C",IF(I92&lt;=Parametros!$B$4,"A",IF(I92&lt;=Parametros!$B$5,"B","C")))</f>
        <v>C</v>
      </c>
      <c r="K92" s="3" t="str">
        <f aca="false">IF(E92&lt;=0,"Z",IF(G92&lt;=Parametros!$B$6,"X",IF(G92&lt;=Parametros!$B$7,"Y","Z")))</f>
        <v>Z</v>
      </c>
      <c r="L92" s="3" t="str">
        <f aca="false">J92&amp;K92</f>
        <v>CZ</v>
      </c>
      <c r="M92" s="3" t="str">
        <f aca="false">INDEX(Parametros!$B$23:$B$31,MATCH(L92,Parametros!$A$23:$A$31,0))</f>
        <v>Contra pedido o stock mínimo. Candidato a racionalizar/descontinuar.</v>
      </c>
      <c r="N92" s="3" t="str">
        <f aca="false">INDEX(Parametros!$C$23:$C$31,MATCH(L92,Parametros!$A$23:$A$31,0))</f>
        <v>Mensual</v>
      </c>
      <c r="O92" s="23" t="n">
        <f aca="false">SUM(Datos_Semanales!M92:R92)</f>
        <v>6000</v>
      </c>
      <c r="P92" s="24" t="n">
        <f aca="false">IF(D92&gt;0,SUMPRODUCT(ABS(Datos_Semanales!F92:K92-Datos_Semanales!M92:R92))/D92,"")</f>
        <v>0.90603506732539</v>
      </c>
      <c r="Q92" s="24" t="n">
        <f aca="false">IF(D92&gt;0,O92/D92-1,"")</f>
        <v>-0.418773612322</v>
      </c>
      <c r="R92" s="23" t="n">
        <f aca="false">SQRT(SUMXMY2(Datos_Semanales!F92:K92,Datos_Semanales!M92:R92)/COUNT(Datos_Semanales!F92:K92))</f>
        <v>2974.43185051084</v>
      </c>
    </row>
    <row r="93" customFormat="false" ht="15" hidden="false" customHeight="false" outlineLevel="0" collapsed="false">
      <c r="A93" s="18" t="n">
        <f aca="false">Datos_Semanales!A93</f>
        <v>30001149</v>
      </c>
      <c r="B93" s="18" t="str">
        <f aca="false">Datos_Semanales!B93</f>
        <v>LECHE EVAPORADA S/LAC LONCO 30X200ML</v>
      </c>
      <c r="C93" s="18" t="str">
        <f aca="false">Datos_Semanales!C93</f>
        <v>LECHE EVAPORADA</v>
      </c>
      <c r="D93" s="23" t="n">
        <f aca="false">SUM(Datos_Semanales!F93:K93)</f>
        <v>10236</v>
      </c>
      <c r="E93" s="23" t="n">
        <f aca="false">AVERAGE(Datos_Semanales!F93:K93)</f>
        <v>1706</v>
      </c>
      <c r="F93" s="23" t="n">
        <f aca="false">STDEV(Datos_Semanales!F93:K93)</f>
        <v>526.944399343992</v>
      </c>
      <c r="G93" s="27" t="n">
        <f aca="false">IF(E93&gt;0,F93/E93,"")</f>
        <v>0.30887713912309</v>
      </c>
      <c r="H93" s="24" t="n">
        <f aca="false">IF(SUM($D$5:$D$137)&gt;0,D93/SUM($D$5:$D$137),0)</f>
        <v>0.000927623898859524</v>
      </c>
      <c r="I93" s="24" t="n">
        <f aca="false">SUMIF($D$5:$D$137,"&gt;="&amp;D93)/SUM($D$5:$D$137)</f>
        <v>0.989425953009062</v>
      </c>
      <c r="J93" s="3" t="str">
        <f aca="false">IF(D93&lt;=0,"C",IF(I93&lt;=Parametros!$B$4,"A",IF(I93&lt;=Parametros!$B$5,"B","C")))</f>
        <v>C</v>
      </c>
      <c r="K93" s="3" t="str">
        <f aca="false">IF(E93&lt;=0,"Z",IF(G93&lt;=Parametros!$B$6,"X",IF(G93&lt;=Parametros!$B$7,"Y","Z")))</f>
        <v>X</v>
      </c>
      <c r="L93" s="3" t="str">
        <f aca="false">J93&amp;K93</f>
        <v>CX</v>
      </c>
      <c r="M93" s="3" t="str">
        <f aca="false">INDEX(Parametros!$B$23:$B$31,MATCH(L93,Parametros!$A$23:$A$31,0))</f>
        <v>Reposición simple mín/máx.</v>
      </c>
      <c r="N93" s="3" t="str">
        <f aca="false">INDEX(Parametros!$C$23:$C$31,MATCH(L93,Parametros!$A$23:$A$31,0))</f>
        <v>Trimestral</v>
      </c>
      <c r="O93" s="23" t="n">
        <f aca="false">SUM(Datos_Semanales!M93:R93)</f>
        <v>11270.5260468271</v>
      </c>
      <c r="P93" s="24" t="n">
        <f aca="false">IF(D93&gt;0,SUMPRODUCT(ABS(Datos_Semanales!F93:K93-Datos_Semanales!M93:R93))/D93,"")</f>
        <v>0.265990030595239</v>
      </c>
      <c r="Q93" s="24" t="n">
        <f aca="false">IF(D93&gt;0,O93/D93-1,"")</f>
        <v>0.101067413718946</v>
      </c>
      <c r="R93" s="23" t="n">
        <f aca="false">SQRT(SUMXMY2(Datos_Semanales!F93:K93,Datos_Semanales!M93:R93)/COUNT(Datos_Semanales!F93:K93))</f>
        <v>535.577835708204</v>
      </c>
    </row>
    <row r="94" customFormat="false" ht="15" hidden="false" customHeight="false" outlineLevel="0" collapsed="false">
      <c r="A94" s="18" t="n">
        <f aca="false">Datos_Semanales!A94</f>
        <v>30001407</v>
      </c>
      <c r="B94" s="18" t="str">
        <f aca="false">Datos_Semanales!B94</f>
        <v>BREAK CHOCO AVELLANA LONCO 18X250ML</v>
      </c>
      <c r="C94" s="18" t="str">
        <f aca="false">Datos_Semanales!C94</f>
        <v>LECHES LIQUIDAS</v>
      </c>
      <c r="D94" s="23" t="n">
        <f aca="false">SUM(Datos_Semanales!F94:K94)</f>
        <v>10233</v>
      </c>
      <c r="E94" s="23" t="n">
        <f aca="false">AVERAGE(Datos_Semanales!F94:K94)</f>
        <v>1705.5</v>
      </c>
      <c r="F94" s="23" t="n">
        <f aca="false">STDEV(Datos_Semanales!F94:K94)</f>
        <v>375.829482611463</v>
      </c>
      <c r="G94" s="27" t="n">
        <f aca="false">IF(E94&gt;0,F94/E94,"")</f>
        <v>0.220363226391946</v>
      </c>
      <c r="H94" s="24" t="n">
        <f aca="false">IF(SUM($D$5:$D$137)&gt;0,D94/SUM($D$5:$D$137),0)</f>
        <v>0.00092735202784579</v>
      </c>
      <c r="I94" s="24" t="n">
        <f aca="false">SUMIF($D$5:$D$137,"&gt;="&amp;D94)/SUM($D$5:$D$137)</f>
        <v>0.990353305036907</v>
      </c>
      <c r="J94" s="3" t="str">
        <f aca="false">IF(D94&lt;=0,"C",IF(I94&lt;=Parametros!$B$4,"A",IF(I94&lt;=Parametros!$B$5,"B","C")))</f>
        <v>C</v>
      </c>
      <c r="K94" s="3" t="str">
        <f aca="false">IF(E94&lt;=0,"Z",IF(G94&lt;=Parametros!$B$6,"X",IF(G94&lt;=Parametros!$B$7,"Y","Z")))</f>
        <v>X</v>
      </c>
      <c r="L94" s="3" t="str">
        <f aca="false">J94&amp;K94</f>
        <v>CX</v>
      </c>
      <c r="M94" s="3" t="str">
        <f aca="false">INDEX(Parametros!$B$23:$B$31,MATCH(L94,Parametros!$A$23:$A$31,0))</f>
        <v>Reposición simple mín/máx.</v>
      </c>
      <c r="N94" s="3" t="str">
        <f aca="false">INDEX(Parametros!$C$23:$C$31,MATCH(L94,Parametros!$A$23:$A$31,0))</f>
        <v>Trimestral</v>
      </c>
      <c r="O94" s="23" t="n">
        <f aca="false">SUM(Datos_Semanales!M94:R94)</f>
        <v>9408.41190052674</v>
      </c>
      <c r="P94" s="24" t="n">
        <f aca="false">IF(D94&gt;0,SUMPRODUCT(ABS(Datos_Semanales!F94:K94-Datos_Semanales!M94:R94))/D94,"")</f>
        <v>0.18062485092087</v>
      </c>
      <c r="Q94" s="24" t="n">
        <f aca="false">IF(D94&gt;0,O94/D94-1,"")</f>
        <v>-0.0805812664392905</v>
      </c>
      <c r="R94" s="23" t="n">
        <f aca="false">SQRT(SUMXMY2(Datos_Semanales!F94:K94,Datos_Semanales!M94:R94)/COUNT(Datos_Semanales!F94:K94))</f>
        <v>357.444070167049</v>
      </c>
    </row>
    <row r="95" customFormat="false" ht="15" hidden="false" customHeight="false" outlineLevel="0" collapsed="false">
      <c r="A95" s="18" t="n">
        <f aca="false">Datos_Semanales!A95</f>
        <v>30002269</v>
      </c>
      <c r="B95" s="18" t="str">
        <f aca="false">Datos_Semanales!B95</f>
        <v>CREMA S/LAC LONCO 500ML</v>
      </c>
      <c r="C95" s="18" t="str">
        <f aca="false">Datos_Semanales!C95</f>
        <v>CREMA</v>
      </c>
      <c r="D95" s="23" t="n">
        <f aca="false">SUM(Datos_Semanales!F95:K95)</f>
        <v>9864</v>
      </c>
      <c r="E95" s="23" t="n">
        <f aca="false">AVERAGE(Datos_Semanales!F95:K95)</f>
        <v>1644</v>
      </c>
      <c r="F95" s="23" t="n">
        <f aca="false">STDEV(Datos_Semanales!F95:K95)</f>
        <v>1423.97078621719</v>
      </c>
      <c r="G95" s="27" t="n">
        <f aca="false">IF(E95&gt;0,F95/E95,"")</f>
        <v>0.866162278720918</v>
      </c>
      <c r="H95" s="24" t="n">
        <f aca="false">IF(SUM($D$5:$D$137)&gt;0,D95/SUM($D$5:$D$137),0)</f>
        <v>0.00089391189315654</v>
      </c>
      <c r="I95" s="24" t="n">
        <f aca="false">SUMIF($D$5:$D$137,"&gt;="&amp;D95)/SUM($D$5:$D$137)</f>
        <v>0.991247216930064</v>
      </c>
      <c r="J95" s="3" t="str">
        <f aca="false">IF(D95&lt;=0,"C",IF(I95&lt;=Parametros!$B$4,"A",IF(I95&lt;=Parametros!$B$5,"B","C")))</f>
        <v>C</v>
      </c>
      <c r="K95" s="3" t="str">
        <f aca="false">IF(E95&lt;=0,"Z",IF(G95&lt;=Parametros!$B$6,"X",IF(G95&lt;=Parametros!$B$7,"Y","Z")))</f>
        <v>Y</v>
      </c>
      <c r="L95" s="3" t="str">
        <f aca="false">J95&amp;K95</f>
        <v>CY</v>
      </c>
      <c r="M95" s="3" t="str">
        <f aca="false">INDEX(Parametros!$B$23:$B$31,MATCH(L95,Parametros!$A$23:$A$31,0))</f>
        <v>Mín/máx con stock bajo; evaluar continuidad del SKU.</v>
      </c>
      <c r="N95" s="3" t="str">
        <f aca="false">INDEX(Parametros!$C$23:$C$31,MATCH(L95,Parametros!$A$23:$A$31,0))</f>
        <v>Mensual</v>
      </c>
      <c r="O95" s="23" t="n">
        <f aca="false">SUM(Datos_Semanales!M95:R95)</f>
        <v>11849.7593006185</v>
      </c>
      <c r="P95" s="24" t="n">
        <f aca="false">IF(D95&gt;0,SUMPRODUCT(ABS(Datos_Semanales!F95:K95-Datos_Semanales!M95:R95))/D95,"")</f>
        <v>0.943006964657494</v>
      </c>
      <c r="Q95" s="24" t="n">
        <f aca="false">IF(D95&gt;0,O95/D95-1,"")</f>
        <v>0.201313797710714</v>
      </c>
      <c r="R95" s="23" t="n">
        <f aca="false">SQRT(SUMXMY2(Datos_Semanales!F95:K95,Datos_Semanales!M95:R95)/COUNT(Datos_Semanales!F95:K95))</f>
        <v>1889.89109028216</v>
      </c>
    </row>
    <row r="96" customFormat="false" ht="15" hidden="false" customHeight="false" outlineLevel="0" collapsed="false">
      <c r="A96" s="18" t="n">
        <f aca="false">Datos_Semanales!A96</f>
        <v>30002261</v>
      </c>
      <c r="B96" s="18" t="str">
        <f aca="false">Datos_Semanales!B96</f>
        <v>NECTAR WATTS PROBIOTICO DURAZNO 5X6X115ML</v>
      </c>
      <c r="C96" s="18" t="str">
        <f aca="false">Datos_Semanales!C96</f>
        <v>JUGOS Y NECTARES</v>
      </c>
      <c r="D96" s="23" t="n">
        <f aca="false">SUM(Datos_Semanales!F96:K96)</f>
        <v>9704.85</v>
      </c>
      <c r="E96" s="23" t="n">
        <f aca="false">AVERAGE(Datos_Semanales!F96:K96)</f>
        <v>1617.475</v>
      </c>
      <c r="F96" s="23" t="n">
        <f aca="false">STDEV(Datos_Semanales!F96:K96)</f>
        <v>1752.78935492831</v>
      </c>
      <c r="G96" s="27" t="n">
        <f aca="false">IF(E96&gt;0,F96/E96,"")</f>
        <v>1.08365777210053</v>
      </c>
      <c r="H96" s="24" t="n">
        <f aca="false">IF(SUM($D$5:$D$137)&gt;0,D96/SUM($D$5:$D$137),0)</f>
        <v>0.000879489135877965</v>
      </c>
      <c r="I96" s="24" t="n">
        <f aca="false">SUMIF($D$5:$D$137,"&gt;="&amp;D96)/SUM($D$5:$D$137)</f>
        <v>0.992126706065942</v>
      </c>
      <c r="J96" s="3" t="str">
        <f aca="false">IF(D96&lt;=0,"C",IF(I96&lt;=Parametros!$B$4,"A",IF(I96&lt;=Parametros!$B$5,"B","C")))</f>
        <v>C</v>
      </c>
      <c r="K96" s="3" t="str">
        <f aca="false">IF(E96&lt;=0,"Z",IF(G96&lt;=Parametros!$B$6,"X",IF(G96&lt;=Parametros!$B$7,"Y","Z")))</f>
        <v>Z</v>
      </c>
      <c r="L96" s="3" t="str">
        <f aca="false">J96&amp;K96</f>
        <v>CZ</v>
      </c>
      <c r="M96" s="3" t="str">
        <f aca="false">INDEX(Parametros!$B$23:$B$31,MATCH(L96,Parametros!$A$23:$A$31,0))</f>
        <v>Contra pedido o stock mínimo. Candidato a racionalizar/descontinuar.</v>
      </c>
      <c r="N96" s="3" t="str">
        <f aca="false">INDEX(Parametros!$C$23:$C$31,MATCH(L96,Parametros!$A$23:$A$31,0))</f>
        <v>Mensual</v>
      </c>
      <c r="O96" s="23" t="n">
        <f aca="false">SUM(Datos_Semanales!M96:R96)</f>
        <v>9625.5079576138</v>
      </c>
      <c r="P96" s="24" t="n">
        <f aca="false">IF(D96&gt;0,SUMPRODUCT(ABS(Datos_Semanales!F96:K96-Datos_Semanales!M96:R96))/D96,"")</f>
        <v>0.78421573155548</v>
      </c>
      <c r="Q96" s="24" t="n">
        <f aca="false">IF(D96&gt;0,O96/D96-1,"")</f>
        <v>-0.00817550424645397</v>
      </c>
      <c r="R96" s="23" t="n">
        <f aca="false">SQRT(SUMXMY2(Datos_Semanales!F96:K96,Datos_Semanales!M96:R96)/COUNT(Datos_Semanales!F96:K96))</f>
        <v>1926.2109675181</v>
      </c>
    </row>
    <row r="97" customFormat="false" ht="15" hidden="false" customHeight="false" outlineLevel="0" collapsed="false">
      <c r="A97" s="18" t="n">
        <f aca="false">Datos_Semanales!A97</f>
        <v>30001925</v>
      </c>
      <c r="B97" s="18" t="str">
        <f aca="false">Datos_Semanales!B97</f>
        <v>LECHE CHOCOLATE LONCOLECHE 30X115ML</v>
      </c>
      <c r="C97" s="18" t="str">
        <f aca="false">Datos_Semanales!C97</f>
        <v>LECHES LIQUIDAS</v>
      </c>
      <c r="D97" s="23" t="n">
        <f aca="false">SUM(Datos_Semanales!F97:K97)</f>
        <v>9363.3</v>
      </c>
      <c r="E97" s="23" t="n">
        <f aca="false">AVERAGE(Datos_Semanales!F97:K97)</f>
        <v>1560.55</v>
      </c>
      <c r="F97" s="23" t="n">
        <f aca="false">STDEV(Datos_Semanales!F97:K97)</f>
        <v>1702.91757698369</v>
      </c>
      <c r="G97" s="27" t="n">
        <f aca="false">IF(E97&gt;0,F97/E97,"")</f>
        <v>1.09122910319034</v>
      </c>
      <c r="H97" s="24" t="n">
        <f aca="false">IF(SUM($D$5:$D$137)&gt;0,D97/SUM($D$5:$D$137),0)</f>
        <v>0.000848536620964379</v>
      </c>
      <c r="I97" s="24" t="n">
        <f aca="false">SUMIF($D$5:$D$137,"&gt;="&amp;D97)/SUM($D$5:$D$137)</f>
        <v>0.992975242686906</v>
      </c>
      <c r="J97" s="3" t="str">
        <f aca="false">IF(D97&lt;=0,"C",IF(I97&lt;=Parametros!$B$4,"A",IF(I97&lt;=Parametros!$B$5,"B","C")))</f>
        <v>C</v>
      </c>
      <c r="K97" s="3" t="str">
        <f aca="false">IF(E97&lt;=0,"Z",IF(G97&lt;=Parametros!$B$6,"X",IF(G97&lt;=Parametros!$B$7,"Y","Z")))</f>
        <v>Z</v>
      </c>
      <c r="L97" s="3" t="str">
        <f aca="false">J97&amp;K97</f>
        <v>CZ</v>
      </c>
      <c r="M97" s="3" t="str">
        <f aca="false">INDEX(Parametros!$B$23:$B$31,MATCH(L97,Parametros!$A$23:$A$31,0))</f>
        <v>Contra pedido o stock mínimo. Candidato a racionalizar/descontinuar.</v>
      </c>
      <c r="N97" s="3" t="str">
        <f aca="false">INDEX(Parametros!$C$23:$C$31,MATCH(L97,Parametros!$A$23:$A$31,0))</f>
        <v>Mensual</v>
      </c>
      <c r="O97" s="23" t="n">
        <f aca="false">SUM(Datos_Semanales!M97:R97)</f>
        <v>21862.4418429878</v>
      </c>
      <c r="P97" s="24" t="n">
        <f aca="false">IF(D97&gt;0,SUMPRODUCT(ABS(Datos_Semanales!F97:K97-Datos_Semanales!M97:R97))/D97,"")</f>
        <v>1.68226392863497</v>
      </c>
      <c r="Q97" s="24" t="n">
        <f aca="false">IF(D97&gt;0,O97/D97-1,"")</f>
        <v>1.33490776147168</v>
      </c>
      <c r="R97" s="23" t="n">
        <f aca="false">SQRT(SUMXMY2(Datos_Semanales!F97:K97,Datos_Semanales!M97:R97)/COUNT(Datos_Semanales!F97:K97))</f>
        <v>3213.94728543353</v>
      </c>
    </row>
    <row r="98" customFormat="false" ht="15" hidden="false" customHeight="false" outlineLevel="0" collapsed="false">
      <c r="A98" s="18" t="n">
        <f aca="false">Datos_Semanales!A98</f>
        <v>30001924</v>
      </c>
      <c r="B98" s="18" t="str">
        <f aca="false">Datos_Semanales!B98</f>
        <v>JUGO 100% FRUTA LV WATTS NRJA MIX 12X1LT</v>
      </c>
      <c r="C98" s="18" t="str">
        <f aca="false">Datos_Semanales!C98</f>
        <v>JUGOS Y NECTARES</v>
      </c>
      <c r="D98" s="23" t="n">
        <f aca="false">SUM(Datos_Semanales!F98:K98)</f>
        <v>8220</v>
      </c>
      <c r="E98" s="23" t="n">
        <f aca="false">AVERAGE(Datos_Semanales!F98:K98)</f>
        <v>1370</v>
      </c>
      <c r="F98" s="23" t="n">
        <f aca="false">STDEV(Datos_Semanales!F98:K98)</f>
        <v>773.471137147341</v>
      </c>
      <c r="G98" s="27" t="n">
        <f aca="false">IF(E98&gt;0,F98/E98,"")</f>
        <v>0.564577472370322</v>
      </c>
      <c r="H98" s="24" t="n">
        <f aca="false">IF(SUM($D$5:$D$137)&gt;0,D98/SUM($D$5:$D$137),0)</f>
        <v>0.00074492657763045</v>
      </c>
      <c r="I98" s="24" t="n">
        <f aca="false">SUMIF($D$5:$D$137,"&gt;="&amp;D98)/SUM($D$5:$D$137)</f>
        <v>0.993720169264537</v>
      </c>
      <c r="J98" s="3" t="str">
        <f aca="false">IF(D98&lt;=0,"C",IF(I98&lt;=Parametros!$B$4,"A",IF(I98&lt;=Parametros!$B$5,"B","C")))</f>
        <v>C</v>
      </c>
      <c r="K98" s="3" t="str">
        <f aca="false">IF(E98&lt;=0,"Z",IF(G98&lt;=Parametros!$B$6,"X",IF(G98&lt;=Parametros!$B$7,"Y","Z")))</f>
        <v>Y</v>
      </c>
      <c r="L98" s="3" t="str">
        <f aca="false">J98&amp;K98</f>
        <v>CY</v>
      </c>
      <c r="M98" s="3" t="str">
        <f aca="false">INDEX(Parametros!$B$23:$B$31,MATCH(L98,Parametros!$A$23:$A$31,0))</f>
        <v>Mín/máx con stock bajo; evaluar continuidad del SKU.</v>
      </c>
      <c r="N98" s="3" t="str">
        <f aca="false">INDEX(Parametros!$C$23:$C$31,MATCH(L98,Parametros!$A$23:$A$31,0))</f>
        <v>Mensual</v>
      </c>
      <c r="O98" s="23" t="n">
        <f aca="false">SUM(Datos_Semanales!M98:R98)</f>
        <v>6738.3313556958</v>
      </c>
      <c r="P98" s="24" t="n">
        <f aca="false">IF(D98&gt;0,SUMPRODUCT(ABS(Datos_Semanales!F98:K98-Datos_Semanales!M98:R98))/D98,"")</f>
        <v>0.455209324124598</v>
      </c>
      <c r="Q98" s="24" t="n">
        <f aca="false">IF(D98&gt;0,O98/D98-1,"")</f>
        <v>-0.180251659891022</v>
      </c>
      <c r="R98" s="23" t="n">
        <f aca="false">SQRT(SUMXMY2(Datos_Semanales!F98:K98,Datos_Semanales!M98:R98)/COUNT(Datos_Semanales!F98:K98))</f>
        <v>750.472050452099</v>
      </c>
    </row>
    <row r="99" customFormat="false" ht="15" hidden="false" customHeight="false" outlineLevel="0" collapsed="false">
      <c r="A99" s="18" t="n">
        <f aca="false">Datos_Semanales!A99</f>
        <v>30001665</v>
      </c>
      <c r="B99" s="18" t="str">
        <f aca="false">Datos_Semanales!B99</f>
        <v>LP LONCO EXTRA CALCIO 10X800GR</v>
      </c>
      <c r="C99" s="18" t="str">
        <f aca="false">Datos_Semanales!C99</f>
        <v>LECHES EN POLVO</v>
      </c>
      <c r="D99" s="23" t="n">
        <f aca="false">SUM(Datos_Semanales!F99:K99)</f>
        <v>7256</v>
      </c>
      <c r="E99" s="23" t="n">
        <f aca="false">AVERAGE(Datos_Semanales!F99:K99)</f>
        <v>1209.33333333333</v>
      </c>
      <c r="F99" s="23" t="n">
        <f aca="false">STDEV(Datos_Semanales!F99:K99)</f>
        <v>485.921255623446</v>
      </c>
      <c r="G99" s="27" t="n">
        <f aca="false">IF(E99&gt;0,F99/E99,"")</f>
        <v>0.401809197042541</v>
      </c>
      <c r="H99" s="24" t="n">
        <f aca="false">IF(SUM($D$5:$D$137)&gt;0,D99/SUM($D$5:$D$137),0)</f>
        <v>0.000657565358550675</v>
      </c>
      <c r="I99" s="24" t="n">
        <f aca="false">SUMIF($D$5:$D$137,"&gt;="&amp;D99)/SUM($D$5:$D$137)</f>
        <v>0.994377734623088</v>
      </c>
      <c r="J99" s="3" t="str">
        <f aca="false">IF(D99&lt;=0,"C",IF(I99&lt;=Parametros!$B$4,"A",IF(I99&lt;=Parametros!$B$5,"B","C")))</f>
        <v>C</v>
      </c>
      <c r="K99" s="3" t="str">
        <f aca="false">IF(E99&lt;=0,"Z",IF(G99&lt;=Parametros!$B$6,"X",IF(G99&lt;=Parametros!$B$7,"Y","Z")))</f>
        <v>X</v>
      </c>
      <c r="L99" s="3" t="str">
        <f aca="false">J99&amp;K99</f>
        <v>CX</v>
      </c>
      <c r="M99" s="3" t="str">
        <f aca="false">INDEX(Parametros!$B$23:$B$31,MATCH(L99,Parametros!$A$23:$A$31,0))</f>
        <v>Reposición simple mín/máx.</v>
      </c>
      <c r="N99" s="3" t="str">
        <f aca="false">INDEX(Parametros!$C$23:$C$31,MATCH(L99,Parametros!$A$23:$A$31,0))</f>
        <v>Trimestral</v>
      </c>
      <c r="O99" s="23" t="n">
        <f aca="false">SUM(Datos_Semanales!M99:R99)</f>
        <v>8312.15523754267</v>
      </c>
      <c r="P99" s="24" t="n">
        <f aca="false">IF(D99&gt;0,SUMPRODUCT(ABS(Datos_Semanales!F99:K99-Datos_Semanales!M99:R99))/D99,"")</f>
        <v>0.211157006276553</v>
      </c>
      <c r="Q99" s="24" t="n">
        <f aca="false">IF(D99&gt;0,O99/D99-1,"")</f>
        <v>0.145556124247887</v>
      </c>
      <c r="R99" s="23" t="n">
        <f aca="false">SQRT(SUMXMY2(Datos_Semanales!F99:K99,Datos_Semanales!M99:R99)/COUNT(Datos_Semanales!F99:K99))</f>
        <v>284.872379703351</v>
      </c>
    </row>
    <row r="100" customFormat="false" ht="15" hidden="false" customHeight="false" outlineLevel="0" collapsed="false">
      <c r="A100" s="18" t="n">
        <f aca="false">Datos_Semanales!A100</f>
        <v>30002285</v>
      </c>
      <c r="B100" s="18" t="str">
        <f aca="false">Datos_Semanales!B100</f>
        <v>LECHE LONCO ENTERA 5X6X200ML</v>
      </c>
      <c r="C100" s="18" t="str">
        <f aca="false">Datos_Semanales!C100</f>
        <v>LECHES LIQUIDAS</v>
      </c>
      <c r="D100" s="23" t="n">
        <f aca="false">SUM(Datos_Semanales!F100:K100)</f>
        <v>6978</v>
      </c>
      <c r="E100" s="23" t="n">
        <f aca="false">AVERAGE(Datos_Semanales!F100:K100)</f>
        <v>1163</v>
      </c>
      <c r="F100" s="23" t="n">
        <f aca="false">STDEV(Datos_Semanales!F100:K100)</f>
        <v>709.974365734426</v>
      </c>
      <c r="G100" s="27" t="n">
        <f aca="false">IF(E100&gt;0,F100/E100,"")</f>
        <v>0.610468070278956</v>
      </c>
      <c r="H100" s="24" t="n">
        <f aca="false">IF(SUM($D$5:$D$137)&gt;0,D100/SUM($D$5:$D$137),0)</f>
        <v>0.000632371977944682</v>
      </c>
      <c r="I100" s="24" t="n">
        <f aca="false">SUMIF($D$5:$D$137,"&gt;="&amp;D100)/SUM($D$5:$D$137)</f>
        <v>0.995010106601032</v>
      </c>
      <c r="J100" s="3" t="str">
        <f aca="false">IF(D100&lt;=0,"C",IF(I100&lt;=Parametros!$B$4,"A",IF(I100&lt;=Parametros!$B$5,"B","C")))</f>
        <v>C</v>
      </c>
      <c r="K100" s="3" t="str">
        <f aca="false">IF(E100&lt;=0,"Z",IF(G100&lt;=Parametros!$B$6,"X",IF(G100&lt;=Parametros!$B$7,"Y","Z")))</f>
        <v>Y</v>
      </c>
      <c r="L100" s="3" t="str">
        <f aca="false">J100&amp;K100</f>
        <v>CY</v>
      </c>
      <c r="M100" s="3" t="str">
        <f aca="false">INDEX(Parametros!$B$23:$B$31,MATCH(L100,Parametros!$A$23:$A$31,0))</f>
        <v>Mín/máx con stock bajo; evaluar continuidad del SKU.</v>
      </c>
      <c r="N100" s="3" t="str">
        <f aca="false">INDEX(Parametros!$C$23:$C$31,MATCH(L100,Parametros!$A$23:$A$31,0))</f>
        <v>Mensual</v>
      </c>
      <c r="O100" s="23" t="n">
        <f aca="false">SUM(Datos_Semanales!M100:R100)</f>
        <v>8312.79834636501</v>
      </c>
      <c r="P100" s="24" t="n">
        <f aca="false">IF(D100&gt;0,SUMPRODUCT(ABS(Datos_Semanales!F100:K100-Datos_Semanales!M100:R100))/D100,"")</f>
        <v>0.322556369499142</v>
      </c>
      <c r="Q100" s="24" t="n">
        <f aca="false">IF(D100&gt;0,O100/D100-1,"")</f>
        <v>0.19128666471267</v>
      </c>
      <c r="R100" s="23" t="n">
        <f aca="false">SQRT(SUMXMY2(Datos_Semanales!F100:K100,Datos_Semanales!M100:R100)/COUNT(Datos_Semanales!F100:K100))</f>
        <v>401.257793032563</v>
      </c>
    </row>
    <row r="101" customFormat="false" ht="15" hidden="false" customHeight="false" outlineLevel="0" collapsed="false">
      <c r="A101" s="18" t="n">
        <f aca="false">Datos_Semanales!A101</f>
        <v>30002274</v>
      </c>
      <c r="B101" s="18" t="str">
        <f aca="false">Datos_Semanales!B101</f>
        <v>LECHE POLVO CALO CRECER+1 BOLSA 6X1,35KG</v>
      </c>
      <c r="C101" s="18" t="str">
        <f aca="false">Datos_Semanales!C101</f>
        <v>LECHES EN POLVO</v>
      </c>
      <c r="D101" s="23" t="n">
        <f aca="false">SUM(Datos_Semanales!F101:K101)</f>
        <v>6836.4</v>
      </c>
      <c r="E101" s="23" t="n">
        <f aca="false">AVERAGE(Datos_Semanales!F101:K101)</f>
        <v>1139.4</v>
      </c>
      <c r="F101" s="23" t="n">
        <f aca="false">STDEV(Datos_Semanales!F101:K101)</f>
        <v>415.607098110704</v>
      </c>
      <c r="G101" s="27" t="n">
        <f aca="false">IF(E101&gt;0,F101/E101,"")</f>
        <v>0.364759608663071</v>
      </c>
      <c r="H101" s="24" t="n">
        <f aca="false">IF(SUM($D$5:$D$137)&gt;0,D101/SUM($D$5:$D$137),0)</f>
        <v>0.000619539666096449</v>
      </c>
      <c r="I101" s="24" t="n">
        <f aca="false">SUMIF($D$5:$D$137,"&gt;="&amp;D101)/SUM($D$5:$D$137)</f>
        <v>0.995629646267129</v>
      </c>
      <c r="J101" s="3" t="str">
        <f aca="false">IF(D101&lt;=0,"C",IF(I101&lt;=Parametros!$B$4,"A",IF(I101&lt;=Parametros!$B$5,"B","C")))</f>
        <v>C</v>
      </c>
      <c r="K101" s="3" t="str">
        <f aca="false">IF(E101&lt;=0,"Z",IF(G101&lt;=Parametros!$B$6,"X",IF(G101&lt;=Parametros!$B$7,"Y","Z")))</f>
        <v>X</v>
      </c>
      <c r="L101" s="3" t="str">
        <f aca="false">J101&amp;K101</f>
        <v>CX</v>
      </c>
      <c r="M101" s="3" t="str">
        <f aca="false">INDEX(Parametros!$B$23:$B$31,MATCH(L101,Parametros!$A$23:$A$31,0))</f>
        <v>Reposición simple mín/máx.</v>
      </c>
      <c r="N101" s="3" t="str">
        <f aca="false">INDEX(Parametros!$C$23:$C$31,MATCH(L101,Parametros!$A$23:$A$31,0))</f>
        <v>Trimestral</v>
      </c>
      <c r="O101" s="23" t="n">
        <f aca="false">SUM(Datos_Semanales!M101:R101)</f>
        <v>9339.42361992699</v>
      </c>
      <c r="P101" s="24" t="n">
        <f aca="false">IF(D101&gt;0,SUMPRODUCT(ABS(Datos_Semanales!F101:K101-Datos_Semanales!M101:R101))/D101,"")</f>
        <v>0.415667365875754</v>
      </c>
      <c r="Q101" s="24" t="n">
        <f aca="false">IF(D101&gt;0,O101/D101-1,"")</f>
        <v>0.366131826681732</v>
      </c>
      <c r="R101" s="23" t="n">
        <f aca="false">SQRT(SUMXMY2(Datos_Semanales!F101:K101,Datos_Semanales!M101:R101)/COUNT(Datos_Semanales!F101:K101))</f>
        <v>575.764425591174</v>
      </c>
    </row>
    <row r="102" customFormat="false" ht="15" hidden="false" customHeight="false" outlineLevel="0" collapsed="false">
      <c r="A102" s="18" t="n">
        <f aca="false">Datos_Semanales!A102</f>
        <v>30000383</v>
      </c>
      <c r="B102" s="18" t="str">
        <f aca="false">Datos_Semanales!B102</f>
        <v>CREMA S/LACT LONCOLECHE 12X1LT</v>
      </c>
      <c r="C102" s="18" t="str">
        <f aca="false">Datos_Semanales!C102</f>
        <v>CREMA</v>
      </c>
      <c r="D102" s="23" t="n">
        <f aca="false">SUM(Datos_Semanales!F102:K102)</f>
        <v>6804</v>
      </c>
      <c r="E102" s="23" t="n">
        <f aca="false">AVERAGE(Datos_Semanales!F102:K102)</f>
        <v>1134</v>
      </c>
      <c r="F102" s="23" t="n">
        <f aca="false">STDEV(Datos_Semanales!F102:K102)</f>
        <v>469.183119900961</v>
      </c>
      <c r="G102" s="27" t="n">
        <f aca="false">IF(E102&gt;0,F102/E102,"")</f>
        <v>0.413741728307726</v>
      </c>
      <c r="H102" s="24" t="n">
        <f aca="false">IF(SUM($D$5:$D$137)&gt;0,D102/SUM($D$5:$D$137),0)</f>
        <v>0.000616603459148125</v>
      </c>
      <c r="I102" s="24" t="n">
        <f aca="false">SUMIF($D$5:$D$137,"&gt;="&amp;D102)/SUM($D$5:$D$137)</f>
        <v>0.996246249726277</v>
      </c>
      <c r="J102" s="3" t="str">
        <f aca="false">IF(D102&lt;=0,"C",IF(I102&lt;=Parametros!$B$4,"A",IF(I102&lt;=Parametros!$B$5,"B","C")))</f>
        <v>C</v>
      </c>
      <c r="K102" s="3" t="str">
        <f aca="false">IF(E102&lt;=0,"Z",IF(G102&lt;=Parametros!$B$6,"X",IF(G102&lt;=Parametros!$B$7,"Y","Z")))</f>
        <v>X</v>
      </c>
      <c r="L102" s="3" t="str">
        <f aca="false">J102&amp;K102</f>
        <v>CX</v>
      </c>
      <c r="M102" s="3" t="str">
        <f aca="false">INDEX(Parametros!$B$23:$B$31,MATCH(L102,Parametros!$A$23:$A$31,0))</f>
        <v>Reposición simple mín/máx.</v>
      </c>
      <c r="N102" s="3" t="str">
        <f aca="false">INDEX(Parametros!$C$23:$C$31,MATCH(L102,Parametros!$A$23:$A$31,0))</f>
        <v>Trimestral</v>
      </c>
      <c r="O102" s="23" t="n">
        <f aca="false">SUM(Datos_Semanales!M102:R102)</f>
        <v>9904.22511683974</v>
      </c>
      <c r="P102" s="24" t="n">
        <f aca="false">IF(D102&gt;0,SUMPRODUCT(ABS(Datos_Semanales!F102:K102-Datos_Semanales!M102:R102))/D102,"")</f>
        <v>0.536182409882384</v>
      </c>
      <c r="Q102" s="24" t="n">
        <f aca="false">IF(D102&gt;0,O102/D102-1,"")</f>
        <v>0.455647430458516</v>
      </c>
      <c r="R102" s="23" t="n">
        <f aca="false">SQRT(SUMXMY2(Datos_Semanales!F102:K102,Datos_Semanales!M102:R102)/COUNT(Datos_Semanales!F102:K102))</f>
        <v>807.051791793196</v>
      </c>
    </row>
    <row r="103" customFormat="false" ht="15" hidden="false" customHeight="false" outlineLevel="0" collapsed="false">
      <c r="A103" s="18" t="n">
        <f aca="false">Datos_Semanales!A103</f>
        <v>30000479</v>
      </c>
      <c r="B103" s="18" t="str">
        <f aca="false">Datos_Semanales!B103</f>
        <v>CHOCO AVELLANAS LONCO 12X1LT</v>
      </c>
      <c r="C103" s="18" t="str">
        <f aca="false">Datos_Semanales!C103</f>
        <v>LECHES LIQUIDAS</v>
      </c>
      <c r="D103" s="23" t="n">
        <f aca="false">SUM(Datos_Semanales!F103:K103)</f>
        <v>6468</v>
      </c>
      <c r="E103" s="23" t="n">
        <f aca="false">AVERAGE(Datos_Semanales!F103:K103)</f>
        <v>1078</v>
      </c>
      <c r="F103" s="23" t="n">
        <f aca="false">STDEV(Datos_Semanales!F103:K103)</f>
        <v>626.782258842734</v>
      </c>
      <c r="G103" s="27" t="n">
        <f aca="false">IF(E103&gt;0,F103/E103,"")</f>
        <v>0.581430666829994</v>
      </c>
      <c r="H103" s="24" t="n">
        <f aca="false">IF(SUM($D$5:$D$137)&gt;0,D103/SUM($D$5:$D$137),0)</f>
        <v>0.000586153905609946</v>
      </c>
      <c r="I103" s="24" t="n">
        <f aca="false">SUMIF($D$5:$D$137,"&gt;="&amp;D103)/SUM($D$5:$D$137)</f>
        <v>0.996832403631887</v>
      </c>
      <c r="J103" s="3" t="str">
        <f aca="false">IF(D103&lt;=0,"C",IF(I103&lt;=Parametros!$B$4,"A",IF(I103&lt;=Parametros!$B$5,"B","C")))</f>
        <v>C</v>
      </c>
      <c r="K103" s="3" t="str">
        <f aca="false">IF(E103&lt;=0,"Z",IF(G103&lt;=Parametros!$B$6,"X",IF(G103&lt;=Parametros!$B$7,"Y","Z")))</f>
        <v>Y</v>
      </c>
      <c r="L103" s="3" t="str">
        <f aca="false">J103&amp;K103</f>
        <v>CY</v>
      </c>
      <c r="M103" s="3" t="str">
        <f aca="false">INDEX(Parametros!$B$23:$B$31,MATCH(L103,Parametros!$A$23:$A$31,0))</f>
        <v>Mín/máx con stock bajo; evaluar continuidad del SKU.</v>
      </c>
      <c r="N103" s="3" t="str">
        <f aca="false">INDEX(Parametros!$C$23:$C$31,MATCH(L103,Parametros!$A$23:$A$31,0))</f>
        <v>Mensual</v>
      </c>
      <c r="O103" s="23" t="n">
        <f aca="false">SUM(Datos_Semanales!M103:R103)</f>
        <v>3881.51971519507</v>
      </c>
      <c r="P103" s="24" t="n">
        <f aca="false">IF(D103&gt;0,SUMPRODUCT(ABS(Datos_Semanales!F103:K103-Datos_Semanales!M103:R103))/D103,"")</f>
        <v>0.836230718120737</v>
      </c>
      <c r="Q103" s="24" t="n">
        <f aca="false">IF(D103&gt;0,O103/D103-1,"")</f>
        <v>-0.399888726778746</v>
      </c>
      <c r="R103" s="23" t="n">
        <f aca="false">SQRT(SUMXMY2(Datos_Semanales!F103:K103,Datos_Semanales!M103:R103)/COUNT(Datos_Semanales!F103:K103))</f>
        <v>999.360500613864</v>
      </c>
    </row>
    <row r="104" customFormat="false" ht="15" hidden="false" customHeight="false" outlineLevel="0" collapsed="false">
      <c r="A104" s="18" t="n">
        <f aca="false">Datos_Semanales!A104</f>
        <v>30000355</v>
      </c>
      <c r="B104" s="18" t="str">
        <f aca="false">Datos_Semanales!B104</f>
        <v>LECHE LONCO DESC CHOC 5X6X200ML</v>
      </c>
      <c r="C104" s="18" t="str">
        <f aca="false">Datos_Semanales!C104</f>
        <v>LECHES LIQUIDAS</v>
      </c>
      <c r="D104" s="23" t="n">
        <f aca="false">SUM(Datos_Semanales!F104:K104)</f>
        <v>5994</v>
      </c>
      <c r="E104" s="23" t="n">
        <f aca="false">AVERAGE(Datos_Semanales!F104:K104)</f>
        <v>999</v>
      </c>
      <c r="F104" s="23" t="n">
        <f aca="false">STDEV(Datos_Semanales!F104:K104)</f>
        <v>224.843945882472</v>
      </c>
      <c r="G104" s="27" t="n">
        <f aca="false">IF(E104&gt;0,F104/E104,"")</f>
        <v>0.225069014897369</v>
      </c>
      <c r="H104" s="24" t="n">
        <f aca="false">IF(SUM($D$5:$D$137)&gt;0,D104/SUM($D$5:$D$137),0)</f>
        <v>0.000543198285440015</v>
      </c>
      <c r="I104" s="24" t="n">
        <f aca="false">SUMIF($D$5:$D$137,"&gt;="&amp;D104)/SUM($D$5:$D$137)</f>
        <v>0.997375601917327</v>
      </c>
      <c r="J104" s="3" t="str">
        <f aca="false">IF(D104&lt;=0,"C",IF(I104&lt;=Parametros!$B$4,"A",IF(I104&lt;=Parametros!$B$5,"B","C")))</f>
        <v>C</v>
      </c>
      <c r="K104" s="3" t="str">
        <f aca="false">IF(E104&lt;=0,"Z",IF(G104&lt;=Parametros!$B$6,"X",IF(G104&lt;=Parametros!$B$7,"Y","Z")))</f>
        <v>X</v>
      </c>
      <c r="L104" s="3" t="str">
        <f aca="false">J104&amp;K104</f>
        <v>CX</v>
      </c>
      <c r="M104" s="3" t="str">
        <f aca="false">INDEX(Parametros!$B$23:$B$31,MATCH(L104,Parametros!$A$23:$A$31,0))</f>
        <v>Reposición simple mín/máx.</v>
      </c>
      <c r="N104" s="3" t="str">
        <f aca="false">INDEX(Parametros!$C$23:$C$31,MATCH(L104,Parametros!$A$23:$A$31,0))</f>
        <v>Trimestral</v>
      </c>
      <c r="O104" s="23" t="n">
        <f aca="false">SUM(Datos_Semanales!M104:R104)</f>
        <v>10943.6952554218</v>
      </c>
      <c r="P104" s="24" t="n">
        <f aca="false">IF(D104&gt;0,SUMPRODUCT(ABS(Datos_Semanales!F104:K104-Datos_Semanales!M104:R104))/D104,"")</f>
        <v>0.875864500260529</v>
      </c>
      <c r="Q104" s="24" t="n">
        <f aca="false">IF(D104&gt;0,O104/D104-1,"")</f>
        <v>0.825774984221192</v>
      </c>
      <c r="R104" s="23" t="n">
        <f aca="false">SQRT(SUMXMY2(Datos_Semanales!F104:K104,Datos_Semanales!M104:R104)/COUNT(Datos_Semanales!F104:K104))</f>
        <v>960.429436299569</v>
      </c>
    </row>
    <row r="105" customFormat="false" ht="15" hidden="false" customHeight="false" outlineLevel="0" collapsed="false">
      <c r="A105" s="18" t="n">
        <f aca="false">Datos_Semanales!A105</f>
        <v>30002217</v>
      </c>
      <c r="B105" s="18" t="str">
        <f aca="false">Datos_Semanales!B105</f>
        <v>LECHE PLATANO LONCOLECHE 30X115ML</v>
      </c>
      <c r="C105" s="18" t="str">
        <f aca="false">Datos_Semanales!C105</f>
        <v>LECHES LIQUIDAS</v>
      </c>
      <c r="D105" s="23" t="n">
        <f aca="false">SUM(Datos_Semanales!F105:K105)</f>
        <v>5871.9</v>
      </c>
      <c r="E105" s="23" t="n">
        <f aca="false">AVERAGE(Datos_Semanales!F105:K105)</f>
        <v>978.65</v>
      </c>
      <c r="F105" s="23" t="n">
        <f aca="false">STDEV(Datos_Semanales!F105:K105)</f>
        <v>1032.37851343391</v>
      </c>
      <c r="G105" s="27" t="n">
        <f aca="false">IF(E105&gt;0,F105/E105,"")</f>
        <v>1.05490064214367</v>
      </c>
      <c r="H105" s="24" t="n">
        <f aca="false">IF(SUM($D$5:$D$137)&gt;0,D105/SUM($D$5:$D$137),0)</f>
        <v>0.000532133135181051</v>
      </c>
      <c r="I105" s="24" t="n">
        <f aca="false">SUMIF($D$5:$D$137,"&gt;="&amp;D105)/SUM($D$5:$D$137)</f>
        <v>0.997907735052508</v>
      </c>
      <c r="J105" s="3" t="str">
        <f aca="false">IF(D105&lt;=0,"C",IF(I105&lt;=Parametros!$B$4,"A",IF(I105&lt;=Parametros!$B$5,"B","C")))</f>
        <v>C</v>
      </c>
      <c r="K105" s="3" t="str">
        <f aca="false">IF(E105&lt;=0,"Z",IF(G105&lt;=Parametros!$B$6,"X",IF(G105&lt;=Parametros!$B$7,"Y","Z")))</f>
        <v>Z</v>
      </c>
      <c r="L105" s="3" t="str">
        <f aca="false">J105&amp;K105</f>
        <v>CZ</v>
      </c>
      <c r="M105" s="3" t="str">
        <f aca="false">INDEX(Parametros!$B$23:$B$31,MATCH(L105,Parametros!$A$23:$A$31,0))</f>
        <v>Contra pedido o stock mínimo. Candidato a racionalizar/descontinuar.</v>
      </c>
      <c r="N105" s="3" t="str">
        <f aca="false">INDEX(Parametros!$C$23:$C$31,MATCH(L105,Parametros!$A$23:$A$31,0))</f>
        <v>Mensual</v>
      </c>
      <c r="O105" s="23" t="n">
        <f aca="false">SUM(Datos_Semanales!M105:R105)</f>
        <v>12564.7379808926</v>
      </c>
      <c r="P105" s="24" t="n">
        <f aca="false">IF(D105&gt;0,SUMPRODUCT(ABS(Datos_Semanales!F105:K105-Datos_Semanales!M105:R105))/D105,"")</f>
        <v>1.40161412505195</v>
      </c>
      <c r="Q105" s="24" t="n">
        <f aca="false">IF(D105&gt;0,O105/D105-1,"")</f>
        <v>1.13980789538183</v>
      </c>
      <c r="R105" s="23" t="n">
        <f aca="false">SQRT(SUMXMY2(Datos_Semanales!F105:K105,Datos_Semanales!M105:R105)/COUNT(Datos_Semanales!F105:K105))</f>
        <v>1768.58643168209</v>
      </c>
    </row>
    <row r="106" customFormat="false" ht="15" hidden="false" customHeight="false" outlineLevel="0" collapsed="false">
      <c r="A106" s="18" t="n">
        <f aca="false">Datos_Semanales!A106</f>
        <v>30002282</v>
      </c>
      <c r="B106" s="18" t="str">
        <f aca="false">Datos_Semanales!B106</f>
        <v>LECHE LONCO SEMI DESCR 5X6X200ML</v>
      </c>
      <c r="C106" s="18" t="str">
        <f aca="false">Datos_Semanales!C106</f>
        <v>LECHES LIQUIDAS</v>
      </c>
      <c r="D106" s="23" t="n">
        <f aca="false">SUM(Datos_Semanales!F106:K106)</f>
        <v>4716</v>
      </c>
      <c r="E106" s="23" t="n">
        <f aca="false">AVERAGE(Datos_Semanales!F106:K106)</f>
        <v>786</v>
      </c>
      <c r="F106" s="23" t="n">
        <f aca="false">STDEV(Datos_Semanales!F106:K106)</f>
        <v>378.884679025162</v>
      </c>
      <c r="G106" s="27" t="n">
        <f aca="false">IF(E106&gt;0,F106/E106,"")</f>
        <v>0.482041576367891</v>
      </c>
      <c r="H106" s="24" t="n">
        <f aca="false">IF(SUM($D$5:$D$137)&gt;0,D106/SUM($D$5:$D$137),0)</f>
        <v>0.000427381233589441</v>
      </c>
      <c r="I106" s="24" t="n">
        <f aca="false">SUMIF($D$5:$D$137,"&gt;="&amp;D106)/SUM($D$5:$D$137)</f>
        <v>0.998335116286097</v>
      </c>
      <c r="J106" s="3" t="str">
        <f aca="false">IF(D106&lt;=0,"C",IF(I106&lt;=Parametros!$B$4,"A",IF(I106&lt;=Parametros!$B$5,"B","C")))</f>
        <v>C</v>
      </c>
      <c r="K106" s="3" t="str">
        <f aca="false">IF(E106&lt;=0,"Z",IF(G106&lt;=Parametros!$B$6,"X",IF(G106&lt;=Parametros!$B$7,"Y","Z")))</f>
        <v>X</v>
      </c>
      <c r="L106" s="3" t="str">
        <f aca="false">J106&amp;K106</f>
        <v>CX</v>
      </c>
      <c r="M106" s="3" t="str">
        <f aca="false">INDEX(Parametros!$B$23:$B$31,MATCH(L106,Parametros!$A$23:$A$31,0))</f>
        <v>Reposición simple mín/máx.</v>
      </c>
      <c r="N106" s="3" t="str">
        <f aca="false">INDEX(Parametros!$C$23:$C$31,MATCH(L106,Parametros!$A$23:$A$31,0))</f>
        <v>Trimestral</v>
      </c>
      <c r="O106" s="23" t="n">
        <f aca="false">SUM(Datos_Semanales!M106:R106)</f>
        <v>5859.32808373585</v>
      </c>
      <c r="P106" s="24" t="n">
        <f aca="false">IF(D106&gt;0,SUMPRODUCT(ABS(Datos_Semanales!F106:K106-Datos_Semanales!M106:R106))/D106,"")</f>
        <v>0.534771688663242</v>
      </c>
      <c r="Q106" s="24" t="n">
        <f aca="false">IF(D106&gt;0,O106/D106-1,"")</f>
        <v>0.242435980435931</v>
      </c>
      <c r="R106" s="23" t="n">
        <f aca="false">SQRT(SUMXMY2(Datos_Semanales!F106:K106,Datos_Semanales!M106:R106)/COUNT(Datos_Semanales!F106:K106))</f>
        <v>508.335709802796</v>
      </c>
    </row>
    <row r="107" customFormat="false" ht="15" hidden="false" customHeight="false" outlineLevel="0" collapsed="false">
      <c r="A107" s="18" t="n">
        <f aca="false">Datos_Semanales!A107</f>
        <v>30001988</v>
      </c>
      <c r="B107" s="18" t="str">
        <f aca="false">Datos_Semanales!B107</f>
        <v>LECHE FRUTILLA LONCO LECHE 30X115ML</v>
      </c>
      <c r="C107" s="18" t="str">
        <f aca="false">Datos_Semanales!C107</f>
        <v>LECHES LIQUIDAS</v>
      </c>
      <c r="D107" s="23" t="n">
        <f aca="false">SUM(Datos_Semanales!F107:K107)</f>
        <v>4350.45</v>
      </c>
      <c r="E107" s="23" t="n">
        <f aca="false">AVERAGE(Datos_Semanales!F107:K107)</f>
        <v>725.075</v>
      </c>
      <c r="F107" s="23" t="n">
        <f aca="false">STDEV(Datos_Semanales!F107:K107)</f>
        <v>584.480980657198</v>
      </c>
      <c r="G107" s="27" t="n">
        <f aca="false">IF(E107&gt;0,F107/E107,"")</f>
        <v>0.806097273602314</v>
      </c>
      <c r="H107" s="24" t="n">
        <f aca="false">IF(SUM($D$5:$D$137)&gt;0,D107/SUM($D$5:$D$137),0)</f>
        <v>0.000394253750565984</v>
      </c>
      <c r="I107" s="24" t="n">
        <f aca="false">SUMIF($D$5:$D$137,"&gt;="&amp;D107)/SUM($D$5:$D$137)</f>
        <v>0.998729370036663</v>
      </c>
      <c r="J107" s="3" t="str">
        <f aca="false">IF(D107&lt;=0,"C",IF(I107&lt;=Parametros!$B$4,"A",IF(I107&lt;=Parametros!$B$5,"B","C")))</f>
        <v>C</v>
      </c>
      <c r="K107" s="3" t="str">
        <f aca="false">IF(E107&lt;=0,"Z",IF(G107&lt;=Parametros!$B$6,"X",IF(G107&lt;=Parametros!$B$7,"Y","Z")))</f>
        <v>Y</v>
      </c>
      <c r="L107" s="3" t="str">
        <f aca="false">J107&amp;K107</f>
        <v>CY</v>
      </c>
      <c r="M107" s="3" t="str">
        <f aca="false">INDEX(Parametros!$B$23:$B$31,MATCH(L107,Parametros!$A$23:$A$31,0))</f>
        <v>Mín/máx con stock bajo; evaluar continuidad del SKU.</v>
      </c>
      <c r="N107" s="3" t="str">
        <f aca="false">INDEX(Parametros!$C$23:$C$31,MATCH(L107,Parametros!$A$23:$A$31,0))</f>
        <v>Mensual</v>
      </c>
      <c r="O107" s="23" t="n">
        <f aca="false">SUM(Datos_Semanales!M107:R107)</f>
        <v>10873.605</v>
      </c>
      <c r="P107" s="24" t="n">
        <f aca="false">IF(D107&gt;0,SUMPRODUCT(ABS(Datos_Semanales!F107:K107-Datos_Semanales!M107:R107))/D107,"")</f>
        <v>1.63299313864083</v>
      </c>
      <c r="Q107" s="24" t="n">
        <f aca="false">IF(D107&gt;0,O107/D107-1,"")</f>
        <v>1.49942074957763</v>
      </c>
      <c r="R107" s="23" t="n">
        <f aca="false">SQRT(SUMXMY2(Datos_Semanales!F107:K107,Datos_Semanales!M107:R107)/COUNT(Datos_Semanales!F107:K107))</f>
        <v>1542.36290114794</v>
      </c>
    </row>
    <row r="108" customFormat="false" ht="15" hidden="false" customHeight="false" outlineLevel="0" collapsed="false">
      <c r="A108" s="18" t="n">
        <f aca="false">Datos_Semanales!A108</f>
        <v>30001776</v>
      </c>
      <c r="B108" s="18" t="str">
        <f aca="false">Datos_Semanales!B108</f>
        <v>JUGO 100% FRUTA LV WATTS MZNA 12X1LT</v>
      </c>
      <c r="C108" s="18" t="str">
        <f aca="false">Datos_Semanales!C108</f>
        <v>JUGOS Y NECTARES</v>
      </c>
      <c r="D108" s="23" t="n">
        <f aca="false">SUM(Datos_Semanales!F108:K108)</f>
        <v>3960</v>
      </c>
      <c r="E108" s="23" t="n">
        <f aca="false">AVERAGE(Datos_Semanales!F108:K108)</f>
        <v>660</v>
      </c>
      <c r="F108" s="23" t="n">
        <f aca="false">STDEV(Datos_Semanales!F108:K108)</f>
        <v>640.039998750078</v>
      </c>
      <c r="G108" s="27" t="n">
        <f aca="false">IF(E108&gt;0,F108/E108,"")</f>
        <v>0.969757573863755</v>
      </c>
      <c r="H108" s="24" t="n">
        <f aca="false">IF(SUM($D$5:$D$137)&gt;0,D108/SUM($D$5:$D$137),0)</f>
        <v>0.000358869738128538</v>
      </c>
      <c r="I108" s="24" t="n">
        <f aca="false">SUMIF($D$5:$D$137,"&gt;="&amp;D108)/SUM($D$5:$D$137)</f>
        <v>0.999088239774792</v>
      </c>
      <c r="J108" s="3" t="str">
        <f aca="false">IF(D108&lt;=0,"C",IF(I108&lt;=Parametros!$B$4,"A",IF(I108&lt;=Parametros!$B$5,"B","C")))</f>
        <v>C</v>
      </c>
      <c r="K108" s="3" t="str">
        <f aca="false">IF(E108&lt;=0,"Z",IF(G108&lt;=Parametros!$B$6,"X",IF(G108&lt;=Parametros!$B$7,"Y","Z")))</f>
        <v>Y</v>
      </c>
      <c r="L108" s="3" t="str">
        <f aca="false">J108&amp;K108</f>
        <v>CY</v>
      </c>
      <c r="M108" s="3" t="str">
        <f aca="false">INDEX(Parametros!$B$23:$B$31,MATCH(L108,Parametros!$A$23:$A$31,0))</f>
        <v>Mín/máx con stock bajo; evaluar continuidad del SKU.</v>
      </c>
      <c r="N108" s="3" t="str">
        <f aca="false">INDEX(Parametros!$C$23:$C$31,MATCH(L108,Parametros!$A$23:$A$31,0))</f>
        <v>Mensual</v>
      </c>
      <c r="O108" s="23" t="n">
        <f aca="false">SUM(Datos_Semanales!M108:R108)</f>
        <v>3913.06985267747</v>
      </c>
      <c r="P108" s="24" t="n">
        <f aca="false">IF(D108&gt;0,SUMPRODUCT(ABS(Datos_Semanales!F108:K108-Datos_Semanales!M108:R108))/D108,"")</f>
        <v>0.873930133242307</v>
      </c>
      <c r="Q108" s="24" t="n">
        <f aca="false">IF(D108&gt;0,O108/D108-1,"")</f>
        <v>-0.0118510473036683</v>
      </c>
      <c r="R108" s="23" t="n">
        <f aca="false">SQRT(SUMXMY2(Datos_Semanales!F108:K108,Datos_Semanales!M108:R108)/COUNT(Datos_Semanales!F108:K108))</f>
        <v>668.028139916847</v>
      </c>
    </row>
    <row r="109" customFormat="false" ht="15" hidden="false" customHeight="false" outlineLevel="0" collapsed="false">
      <c r="A109" s="18" t="n">
        <f aca="false">Datos_Semanales!A109</f>
        <v>30001716</v>
      </c>
      <c r="B109" s="18" t="str">
        <f aca="false">Datos_Semanales!B109</f>
        <v>CREMA LISTA LONCO 18X250ML</v>
      </c>
      <c r="C109" s="18" t="str">
        <f aca="false">Datos_Semanales!C109</f>
        <v>CREMA</v>
      </c>
      <c r="D109" s="23" t="n">
        <f aca="false">SUM(Datos_Semanales!F109:K109)</f>
        <v>3510</v>
      </c>
      <c r="E109" s="23" t="n">
        <f aca="false">AVERAGE(Datos_Semanales!F109:K109)</f>
        <v>585</v>
      </c>
      <c r="F109" s="23" t="n">
        <f aca="false">STDEV(Datos_Semanales!F109:K109)</f>
        <v>424.214214754763</v>
      </c>
      <c r="G109" s="27" t="n">
        <f aca="false">IF(E109&gt;0,F109/E109,"")</f>
        <v>0.725152503854295</v>
      </c>
      <c r="H109" s="24" t="n">
        <f aca="false">IF(SUM($D$5:$D$137)&gt;0,D109/SUM($D$5:$D$137),0)</f>
        <v>0.000318089086068477</v>
      </c>
      <c r="I109" s="24" t="n">
        <f aca="false">SUMIF($D$5:$D$137,"&gt;="&amp;D109)/SUM($D$5:$D$137)</f>
        <v>0.99940632886086</v>
      </c>
      <c r="J109" s="3" t="str">
        <f aca="false">IF(D109&lt;=0,"C",IF(I109&lt;=Parametros!$B$4,"A",IF(I109&lt;=Parametros!$B$5,"B","C")))</f>
        <v>C</v>
      </c>
      <c r="K109" s="3" t="str">
        <f aca="false">IF(E109&lt;=0,"Z",IF(G109&lt;=Parametros!$B$6,"X",IF(G109&lt;=Parametros!$B$7,"Y","Z")))</f>
        <v>Y</v>
      </c>
      <c r="L109" s="3" t="str">
        <f aca="false">J109&amp;K109</f>
        <v>CY</v>
      </c>
      <c r="M109" s="3" t="str">
        <f aca="false">INDEX(Parametros!$B$23:$B$31,MATCH(L109,Parametros!$A$23:$A$31,0))</f>
        <v>Mín/máx con stock bajo; evaluar continuidad del SKU.</v>
      </c>
      <c r="N109" s="3" t="str">
        <f aca="false">INDEX(Parametros!$C$23:$C$31,MATCH(L109,Parametros!$A$23:$A$31,0))</f>
        <v>Mensual</v>
      </c>
      <c r="O109" s="23" t="n">
        <f aca="false">SUM(Datos_Semanales!M109:R109)</f>
        <v>6813.05208333333</v>
      </c>
      <c r="P109" s="24" t="n">
        <f aca="false">IF(D109&gt;0,SUMPRODUCT(ABS(Datos_Semanales!F109:K109-Datos_Semanales!M109:R109))/D109,"")</f>
        <v>1.16027124881292</v>
      </c>
      <c r="Q109" s="24" t="n">
        <f aca="false">IF(D109&gt;0,O109/D109-1,"")</f>
        <v>0.941040479582146</v>
      </c>
      <c r="R109" s="23" t="n">
        <f aca="false">SQRT(SUMXMY2(Datos_Semanales!F109:K109,Datos_Semanales!M109:R109)/COUNT(Datos_Semanales!F109:K109))</f>
        <v>751.634315130223</v>
      </c>
    </row>
    <row r="110" customFormat="false" ht="15" hidden="false" customHeight="false" outlineLevel="0" collapsed="false">
      <c r="A110" s="18" t="n">
        <f aca="false">Datos_Semanales!A110</f>
        <v>30000542</v>
      </c>
      <c r="B110" s="18" t="str">
        <f aca="false">Datos_Semanales!B110</f>
        <v>LONCO EXT PROT POLVO 14X550GR</v>
      </c>
      <c r="C110" s="18" t="str">
        <f aca="false">Datos_Semanales!C110</f>
        <v>LECHES EN POLVO</v>
      </c>
      <c r="D110" s="23" t="n">
        <f aca="false">SUM(Datos_Semanales!F110:K110)</f>
        <v>2517.9</v>
      </c>
      <c r="E110" s="23" t="n">
        <f aca="false">AVERAGE(Datos_Semanales!F110:K110)</f>
        <v>419.65</v>
      </c>
      <c r="F110" s="23" t="n">
        <f aca="false">STDEV(Datos_Semanales!F110:K110)</f>
        <v>280.548525214445</v>
      </c>
      <c r="G110" s="27" t="n">
        <f aca="false">IF(E110&gt;0,F110/E110,"")</f>
        <v>0.668529787238043</v>
      </c>
      <c r="H110" s="24" t="n">
        <f aca="false">IF(SUM($D$5:$D$137)&gt;0,D110/SUM($D$5:$D$137),0)</f>
        <v>0.000228181341826729</v>
      </c>
      <c r="I110" s="24" t="n">
        <f aca="false">SUMIF($D$5:$D$137,"&gt;="&amp;D110)/SUM($D$5:$D$137)</f>
        <v>0.999634510202687</v>
      </c>
      <c r="J110" s="3" t="str">
        <f aca="false">IF(D110&lt;=0,"C",IF(I110&lt;=Parametros!$B$4,"A",IF(I110&lt;=Parametros!$B$5,"B","C")))</f>
        <v>C</v>
      </c>
      <c r="K110" s="3" t="str">
        <f aca="false">IF(E110&lt;=0,"Z",IF(G110&lt;=Parametros!$B$6,"X",IF(G110&lt;=Parametros!$B$7,"Y","Z")))</f>
        <v>Y</v>
      </c>
      <c r="L110" s="3" t="str">
        <f aca="false">J110&amp;K110</f>
        <v>CY</v>
      </c>
      <c r="M110" s="3" t="str">
        <f aca="false">INDEX(Parametros!$B$23:$B$31,MATCH(L110,Parametros!$A$23:$A$31,0))</f>
        <v>Mín/máx con stock bajo; evaluar continuidad del SKU.</v>
      </c>
      <c r="N110" s="3" t="str">
        <f aca="false">INDEX(Parametros!$C$23:$C$31,MATCH(L110,Parametros!$A$23:$A$31,0))</f>
        <v>Mensual</v>
      </c>
      <c r="O110" s="23" t="n">
        <f aca="false">SUM(Datos_Semanales!M110:R110)</f>
        <v>3665.67952393219</v>
      </c>
      <c r="P110" s="24" t="n">
        <f aca="false">IF(D110&gt;0,SUMPRODUCT(ABS(Datos_Semanales!F110:K110-Datos_Semanales!M110:R110))/D110,"")</f>
        <v>0.608418302526784</v>
      </c>
      <c r="Q110" s="24" t="n">
        <f aca="false">IF(D110&gt;0,O110/D110-1,"")</f>
        <v>0.455847938334402</v>
      </c>
      <c r="R110" s="23" t="n">
        <f aca="false">SQRT(SUMXMY2(Datos_Semanales!F110:K110,Datos_Semanales!M110:R110)/COUNT(Datos_Semanales!F110:K110))</f>
        <v>334.560826845909</v>
      </c>
    </row>
    <row r="111" customFormat="false" ht="15" hidden="false" customHeight="false" outlineLevel="0" collapsed="false">
      <c r="A111" s="18" t="n">
        <f aca="false">Datos_Semanales!A111</f>
        <v>30002186</v>
      </c>
      <c r="B111" s="18" t="str">
        <f aca="false">Datos_Semanales!B111</f>
        <v>YOGU YOGU MORA 5X6X115ML</v>
      </c>
      <c r="C111" s="18" t="str">
        <f aca="false">Datos_Semanales!C111</f>
        <v>LECHES LIQUIDAS</v>
      </c>
      <c r="D111" s="23" t="n">
        <f aca="false">SUM(Datos_Semanales!F111:K111)</f>
        <v>1866.45</v>
      </c>
      <c r="E111" s="23" t="n">
        <f aca="false">AVERAGE(Datos_Semanales!F111:K111)</f>
        <v>311.075</v>
      </c>
      <c r="F111" s="23" t="n">
        <f aca="false">STDEV(Datos_Semanales!F111:K111)</f>
        <v>741.733685867104</v>
      </c>
      <c r="G111" s="27" t="n">
        <f aca="false">IF(E111&gt;0,F111/E111,"")</f>
        <v>2.38442075341028</v>
      </c>
      <c r="H111" s="24" t="n">
        <f aca="false">IF(SUM($D$5:$D$137)&gt;0,D111/SUM($D$5:$D$137),0)</f>
        <v>0.000169144551194447</v>
      </c>
      <c r="I111" s="24" t="n">
        <f aca="false">SUMIF($D$5:$D$137,"&gt;="&amp;D111)/SUM($D$5:$D$137)</f>
        <v>0.999803654753881</v>
      </c>
      <c r="J111" s="3" t="str">
        <f aca="false">IF(D111&lt;=0,"C",IF(I111&lt;=Parametros!$B$4,"A",IF(I111&lt;=Parametros!$B$5,"B","C")))</f>
        <v>C</v>
      </c>
      <c r="K111" s="3" t="str">
        <f aca="false">IF(E111&lt;=0,"Z",IF(G111&lt;=Parametros!$B$6,"X",IF(G111&lt;=Parametros!$B$7,"Y","Z")))</f>
        <v>Z</v>
      </c>
      <c r="L111" s="3" t="str">
        <f aca="false">J111&amp;K111</f>
        <v>CZ</v>
      </c>
      <c r="M111" s="3" t="str">
        <f aca="false">INDEX(Parametros!$B$23:$B$31,MATCH(L111,Parametros!$A$23:$A$31,0))</f>
        <v>Contra pedido o stock mínimo. Candidato a racionalizar/descontinuar.</v>
      </c>
      <c r="N111" s="3" t="str">
        <f aca="false">INDEX(Parametros!$C$23:$C$31,MATCH(L111,Parametros!$A$23:$A$31,0))</f>
        <v>Mensual</v>
      </c>
      <c r="O111" s="23" t="n">
        <f aca="false">SUM(Datos_Semanales!M111:R111)</f>
        <v>15200</v>
      </c>
      <c r="P111" s="24" t="n">
        <f aca="false">IF(D111&gt;0,SUMPRODUCT(ABS(Datos_Semanales!F111:K111-Datos_Semanales!M111:R111))/D111,"")</f>
        <v>9.13640869029441</v>
      </c>
      <c r="Q111" s="24" t="n">
        <f aca="false">IF(D111&gt;0,O111/D111-1,"")</f>
        <v>7.14380240563637</v>
      </c>
      <c r="R111" s="23" t="n">
        <f aca="false">SQRT(SUMXMY2(Datos_Semanales!F111:K111,Datos_Semanales!M111:R111)/COUNT(Datos_Semanales!F111:K111))</f>
        <v>4136.72274144441</v>
      </c>
    </row>
    <row r="112" customFormat="false" ht="15" hidden="false" customHeight="false" outlineLevel="0" collapsed="false">
      <c r="A112" s="18" t="n">
        <f aca="false">Datos_Semanales!A112</f>
        <v>30002284</v>
      </c>
      <c r="B112" s="18" t="str">
        <f aca="false">Datos_Semanales!B112</f>
        <v>MANJAR EN BARRA LONCOLECHE 120X35GR</v>
      </c>
      <c r="C112" s="18" t="str">
        <f aca="false">Datos_Semanales!C112</f>
        <v>MANJAR</v>
      </c>
      <c r="D112" s="23" t="n">
        <f aca="false">SUM(Datos_Semanales!F112:K112)</f>
        <v>1671.6</v>
      </c>
      <c r="E112" s="23" t="n">
        <f aca="false">AVERAGE(Datos_Semanales!F112:K112)</f>
        <v>278.6</v>
      </c>
      <c r="F112" s="23" t="n">
        <f aca="false">STDEV(Datos_Semanales!F112:K112)</f>
        <v>275.292833179507</v>
      </c>
      <c r="G112" s="27" t="n">
        <f aca="false">IF(E112&gt;0,F112/E112,"")</f>
        <v>0.988129336609861</v>
      </c>
      <c r="H112" s="24" t="n">
        <f aca="false">IF(SUM($D$5:$D$137)&gt;0,D112/SUM($D$5:$D$137),0)</f>
        <v>0.00015148652885244</v>
      </c>
      <c r="I112" s="24" t="n">
        <f aca="false">SUMIF($D$5:$D$137,"&gt;="&amp;D112)/SUM($D$5:$D$137)</f>
        <v>0.999955141282734</v>
      </c>
      <c r="J112" s="3" t="str">
        <f aca="false">IF(D112&lt;=0,"C",IF(I112&lt;=Parametros!$B$4,"A",IF(I112&lt;=Parametros!$B$5,"B","C")))</f>
        <v>C</v>
      </c>
      <c r="K112" s="3" t="str">
        <f aca="false">IF(E112&lt;=0,"Z",IF(G112&lt;=Parametros!$B$6,"X",IF(G112&lt;=Parametros!$B$7,"Y","Z")))</f>
        <v>Y</v>
      </c>
      <c r="L112" s="3" t="str">
        <f aca="false">J112&amp;K112</f>
        <v>CY</v>
      </c>
      <c r="M112" s="3" t="str">
        <f aca="false">INDEX(Parametros!$B$23:$B$31,MATCH(L112,Parametros!$A$23:$A$31,0))</f>
        <v>Mín/máx con stock bajo; evaluar continuidad del SKU.</v>
      </c>
      <c r="N112" s="3" t="str">
        <f aca="false">INDEX(Parametros!$C$23:$C$31,MATCH(L112,Parametros!$A$23:$A$31,0))</f>
        <v>Mensual</v>
      </c>
      <c r="O112" s="23" t="n">
        <f aca="false">SUM(Datos_Semanales!M112:R112)</f>
        <v>2158.995</v>
      </c>
      <c r="P112" s="24" t="n">
        <f aca="false">IF(D112&gt;0,SUMPRODUCT(ABS(Datos_Semanales!F112:K112-Datos_Semanales!M112:R112))/D112,"")</f>
        <v>0.962314548935152</v>
      </c>
      <c r="Q112" s="24" t="n">
        <f aca="false">IF(D112&gt;0,O112/D112-1,"")</f>
        <v>0.291573941134243</v>
      </c>
      <c r="R112" s="23" t="n">
        <f aca="false">SQRT(SUMXMY2(Datos_Semanales!F112:K112,Datos_Semanales!M112:R112)/COUNT(Datos_Semanales!F112:K112))</f>
        <v>298.976327107738</v>
      </c>
    </row>
    <row r="113" customFormat="false" ht="15" hidden="false" customHeight="false" outlineLevel="0" collapsed="false">
      <c r="A113" s="18" t="n">
        <f aca="false">Datos_Semanales!A113</f>
        <v>30001412</v>
      </c>
      <c r="B113" s="18" t="str">
        <f aca="false">Datos_Semanales!B113</f>
        <v>LONCO PROTEIN CHOCOLATE 18X200ML</v>
      </c>
      <c r="C113" s="18" t="str">
        <f aca="false">Datos_Semanales!C113</f>
        <v>LECHES LIQUIDAS</v>
      </c>
      <c r="D113" s="23" t="n">
        <f aca="false">SUM(Datos_Semanales!F113:K113)</f>
        <v>277.2</v>
      </c>
      <c r="E113" s="23" t="n">
        <f aca="false">AVERAGE(Datos_Semanales!F113:K113)</f>
        <v>46.2</v>
      </c>
      <c r="F113" s="23" t="n">
        <f aca="false">STDEV(Datos_Semanales!F113:K113)</f>
        <v>80.1569460496095</v>
      </c>
      <c r="G113" s="27" t="n">
        <f aca="false">IF(E113&gt;0,F113/E113,"")</f>
        <v>1.73499883224263</v>
      </c>
      <c r="H113" s="24" t="n">
        <f aca="false">IF(SUM($D$5:$D$137)&gt;0,D113/SUM($D$5:$D$137),0)</f>
        <v>2.51208816689977E-005</v>
      </c>
      <c r="I113" s="24" t="n">
        <f aca="false">SUMIF($D$5:$D$137,"&gt;="&amp;D113)/SUM($D$5:$D$137)</f>
        <v>0.999980262164403</v>
      </c>
      <c r="J113" s="3" t="str">
        <f aca="false">IF(D113&lt;=0,"C",IF(I113&lt;=Parametros!$B$4,"A",IF(I113&lt;=Parametros!$B$5,"B","C")))</f>
        <v>C</v>
      </c>
      <c r="K113" s="3" t="str">
        <f aca="false">IF(E113&lt;=0,"Z",IF(G113&lt;=Parametros!$B$6,"X",IF(G113&lt;=Parametros!$B$7,"Y","Z")))</f>
        <v>Z</v>
      </c>
      <c r="L113" s="3" t="str">
        <f aca="false">J113&amp;K113</f>
        <v>CZ</v>
      </c>
      <c r="M113" s="3" t="str">
        <f aca="false">INDEX(Parametros!$B$23:$B$31,MATCH(L113,Parametros!$A$23:$A$31,0))</f>
        <v>Contra pedido o stock mínimo. Candidato a racionalizar/descontinuar.</v>
      </c>
      <c r="N113" s="3" t="str">
        <f aca="false">INDEX(Parametros!$C$23:$C$31,MATCH(L113,Parametros!$A$23:$A$31,0))</f>
        <v>Mensual</v>
      </c>
      <c r="O113" s="23" t="n">
        <f aca="false">SUM(Datos_Semanales!M113:R113)</f>
        <v>101.348582240631</v>
      </c>
      <c r="P113" s="24" t="n">
        <f aca="false">IF(D113&gt;0,SUMPRODUCT(ABS(Datos_Semanales!F113:K113-Datos_Semanales!M113:R113))/D113,"")</f>
        <v>1.36561537604845</v>
      </c>
      <c r="Q113" s="24" t="n">
        <f aca="false">IF(D113&gt;0,O113/D113-1,"")</f>
        <v>-0.634384623951548</v>
      </c>
      <c r="R113" s="23" t="n">
        <f aca="false">SQRT(SUMXMY2(Datos_Semanales!F113:K113,Datos_Semanales!M113:R113)/COUNT(Datos_Semanales!F113:K113))</f>
        <v>95.9199797767093</v>
      </c>
    </row>
    <row r="114" customFormat="false" ht="15" hidden="false" customHeight="false" outlineLevel="0" collapsed="false">
      <c r="A114" s="18" t="n">
        <f aca="false">Datos_Semanales!A114</f>
        <v>30001411</v>
      </c>
      <c r="B114" s="18" t="str">
        <f aca="false">Datos_Semanales!B114</f>
        <v>LONCO PROTEIN CAPPUCCINO 18X200ML</v>
      </c>
      <c r="C114" s="18" t="str">
        <f aca="false">Datos_Semanales!C114</f>
        <v>LECHES LIQUIDAS</v>
      </c>
      <c r="D114" s="23" t="n">
        <f aca="false">SUM(Datos_Semanales!F114:K114)</f>
        <v>93.6</v>
      </c>
      <c r="E114" s="23" t="n">
        <f aca="false">AVERAGE(Datos_Semanales!F114:K114)</f>
        <v>15.6</v>
      </c>
      <c r="F114" s="23" t="n">
        <f aca="false">STDEV(Datos_Semanales!F114:K114)</f>
        <v>36.4768419685696</v>
      </c>
      <c r="G114" s="27" t="n">
        <f aca="false">IF(E114&gt;0,F114/E114,"")</f>
        <v>2.33825910054933</v>
      </c>
      <c r="H114" s="24" t="n">
        <f aca="false">IF(SUM($D$5:$D$137)&gt;0,D114/SUM($D$5:$D$137),0)</f>
        <v>8.48237562849272E-006</v>
      </c>
      <c r="I114" s="24" t="n">
        <f aca="false">SUMIF($D$5:$D$137,"&gt;="&amp;D114)/SUM($D$5:$D$137)</f>
        <v>0.999988744540031</v>
      </c>
      <c r="J114" s="3" t="str">
        <f aca="false">IF(D114&lt;=0,"C",IF(I114&lt;=Parametros!$B$4,"A",IF(I114&lt;=Parametros!$B$5,"B","C")))</f>
        <v>C</v>
      </c>
      <c r="K114" s="3" t="str">
        <f aca="false">IF(E114&lt;=0,"Z",IF(G114&lt;=Parametros!$B$6,"X",IF(G114&lt;=Parametros!$B$7,"Y","Z")))</f>
        <v>Z</v>
      </c>
      <c r="L114" s="3" t="str">
        <f aca="false">J114&amp;K114</f>
        <v>CZ</v>
      </c>
      <c r="M114" s="3" t="str">
        <f aca="false">INDEX(Parametros!$B$23:$B$31,MATCH(L114,Parametros!$A$23:$A$31,0))</f>
        <v>Contra pedido o stock mínimo. Candidato a racionalizar/descontinuar.</v>
      </c>
      <c r="N114" s="3" t="str">
        <f aca="false">INDEX(Parametros!$C$23:$C$31,MATCH(L114,Parametros!$A$23:$A$31,0))</f>
        <v>Mensual</v>
      </c>
      <c r="O114" s="23" t="n">
        <f aca="false">SUM(Datos_Semanales!M114:R114)</f>
        <v>965.443564002189</v>
      </c>
      <c r="P114" s="24" t="n">
        <f aca="false">IF(D114&gt;0,SUMPRODUCT(ABS(Datos_Semanales!F114:K114-Datos_Semanales!M114:R114))/D114,"")</f>
        <v>11.2376449145533</v>
      </c>
      <c r="Q114" s="24" t="n">
        <f aca="false">IF(D114&gt;0,O114/D114-1,"")</f>
        <v>9.31456799147638</v>
      </c>
      <c r="R114" s="23" t="n">
        <f aca="false">SQRT(SUMXMY2(Datos_Semanales!F114:K114,Datos_Semanales!M114:R114)/COUNT(Datos_Semanales!F114:K114))</f>
        <v>394.386240803867</v>
      </c>
    </row>
    <row r="115" customFormat="false" ht="15" hidden="false" customHeight="false" outlineLevel="0" collapsed="false">
      <c r="A115" s="18" t="n">
        <f aca="false">Datos_Semanales!A115</f>
        <v>30002187</v>
      </c>
      <c r="B115" s="18" t="str">
        <f aca="false">Datos_Semanales!B115</f>
        <v>YOGU YOGU FRUTILLA 5X6X115 ML</v>
      </c>
      <c r="C115" s="18" t="str">
        <f aca="false">Datos_Semanales!C115</f>
        <v>LECHES LIQUIDAS</v>
      </c>
      <c r="D115" s="23" t="n">
        <f aca="false">SUM(Datos_Semanales!F115:K115)</f>
        <v>55.2</v>
      </c>
      <c r="E115" s="23" t="n">
        <f aca="false">AVERAGE(Datos_Semanales!F115:K115)</f>
        <v>9.2</v>
      </c>
      <c r="F115" s="23" t="n">
        <f aca="false">STDEV(Datos_Semanales!F115:K115)</f>
        <v>8.06641184170508</v>
      </c>
      <c r="G115" s="27" t="n">
        <f aca="false">IF(E115&gt;0,F115/E115,"")</f>
        <v>0.876783895837509</v>
      </c>
      <c r="H115" s="24" t="n">
        <f aca="false">IF(SUM($D$5:$D$137)&gt;0,D115/SUM($D$5:$D$137),0)</f>
        <v>5.00242665270083E-006</v>
      </c>
      <c r="I115" s="24" t="n">
        <f aca="false">SUMIF($D$5:$D$137,"&gt;="&amp;D115)/SUM($D$5:$D$137)</f>
        <v>0.999993746966684</v>
      </c>
      <c r="J115" s="3" t="str">
        <f aca="false">IF(D115&lt;=0,"C",IF(I115&lt;=Parametros!$B$4,"A",IF(I115&lt;=Parametros!$B$5,"B","C")))</f>
        <v>C</v>
      </c>
      <c r="K115" s="3" t="str">
        <f aca="false">IF(E115&lt;=0,"Z",IF(G115&lt;=Parametros!$B$6,"X",IF(G115&lt;=Parametros!$B$7,"Y","Z")))</f>
        <v>Y</v>
      </c>
      <c r="L115" s="3" t="str">
        <f aca="false">J115&amp;K115</f>
        <v>CY</v>
      </c>
      <c r="M115" s="3" t="str">
        <f aca="false">INDEX(Parametros!$B$23:$B$31,MATCH(L115,Parametros!$A$23:$A$31,0))</f>
        <v>Mín/máx con stock bajo; evaluar continuidad del SKU.</v>
      </c>
      <c r="N115" s="3" t="str">
        <f aca="false">INDEX(Parametros!$C$23:$C$31,MATCH(L115,Parametros!$A$23:$A$31,0))</f>
        <v>Mensual</v>
      </c>
      <c r="O115" s="23" t="n">
        <f aca="false">SUM(Datos_Semanales!M115:R115)</f>
        <v>3200</v>
      </c>
      <c r="P115" s="24" t="n">
        <f aca="false">IF(D115&gt;0,SUMPRODUCT(ABS(Datos_Semanales!F115:K115-Datos_Semanales!M115:R115))/D115,"")</f>
        <v>58.2210144927536</v>
      </c>
      <c r="Q115" s="24" t="n">
        <f aca="false">IF(D115&gt;0,O115/D115-1,"")</f>
        <v>56.9710144927536</v>
      </c>
      <c r="R115" s="23" t="n">
        <f aca="false">SQRT(SUMXMY2(Datos_Semanales!F115:K115,Datos_Semanales!M115:R115)/COUNT(Datos_Semanales!F115:K115))</f>
        <v>752.098528009019</v>
      </c>
    </row>
    <row r="116" customFormat="false" ht="15" hidden="false" customHeight="false" outlineLevel="0" collapsed="false">
      <c r="A116" s="18" t="n">
        <f aca="false">Datos_Semanales!A116</f>
        <v>30001408</v>
      </c>
      <c r="B116" s="18" t="str">
        <f aca="false">Datos_Semanales!B116</f>
        <v>LECHE POLVO SUPER CALO 20X850GR</v>
      </c>
      <c r="C116" s="18" t="str">
        <f aca="false">Datos_Semanales!C116</f>
        <v>LECHES EN POLVO</v>
      </c>
      <c r="D116" s="23" t="n">
        <f aca="false">SUM(Datos_Semanales!F116:K116)</f>
        <v>51</v>
      </c>
      <c r="E116" s="23" t="n">
        <f aca="false">AVERAGE(Datos_Semanales!F116:K116)</f>
        <v>8.5</v>
      </c>
      <c r="F116" s="23" t="n">
        <f aca="false">STDEV(Datos_Semanales!F116:K116)</f>
        <v>9.31128347758783</v>
      </c>
      <c r="G116" s="27" t="n">
        <f aca="false">IF(E116&gt;0,F116/E116,"")</f>
        <v>1.09544511501033</v>
      </c>
      <c r="H116" s="24" t="n">
        <f aca="false">IF(SUM($D$5:$D$137)&gt;0,D116/SUM($D$5:$D$137),0)</f>
        <v>4.6218072334736E-006</v>
      </c>
      <c r="I116" s="24" t="n">
        <f aca="false">SUMIF($D$5:$D$137,"&gt;="&amp;D116)/SUM($D$5:$D$137)</f>
        <v>0.999998368773918</v>
      </c>
      <c r="J116" s="3" t="str">
        <f aca="false">IF(D116&lt;=0,"C",IF(I116&lt;=Parametros!$B$4,"A",IF(I116&lt;=Parametros!$B$5,"B","C")))</f>
        <v>C</v>
      </c>
      <c r="K116" s="3" t="str">
        <f aca="false">IF(E116&lt;=0,"Z",IF(G116&lt;=Parametros!$B$6,"X",IF(G116&lt;=Parametros!$B$7,"Y","Z")))</f>
        <v>Z</v>
      </c>
      <c r="L116" s="3" t="str">
        <f aca="false">J116&amp;K116</f>
        <v>CZ</v>
      </c>
      <c r="M116" s="3" t="str">
        <f aca="false">INDEX(Parametros!$B$23:$B$31,MATCH(L116,Parametros!$A$23:$A$31,0))</f>
        <v>Contra pedido o stock mínimo. Candidato a racionalizar/descontinuar.</v>
      </c>
      <c r="N116" s="3" t="str">
        <f aca="false">INDEX(Parametros!$C$23:$C$31,MATCH(L116,Parametros!$A$23:$A$31,0))</f>
        <v>Mensual</v>
      </c>
      <c r="O116" s="23" t="n">
        <f aca="false">SUM(Datos_Semanales!M116:R116)</f>
        <v>0</v>
      </c>
      <c r="P116" s="24" t="n">
        <f aca="false">IF(D116&gt;0,SUMPRODUCT(ABS(Datos_Semanales!F116:K116-Datos_Semanales!M116:R116))/D116,"")</f>
        <v>1</v>
      </c>
      <c r="Q116" s="24" t="n">
        <f aca="false">IF(D116&gt;0,O116/D116-1,"")</f>
        <v>-1</v>
      </c>
      <c r="R116" s="23" t="n">
        <f aca="false">SQRT(SUMXMY2(Datos_Semanales!F116:K116,Datos_Semanales!M116:R116)/COUNT(Datos_Semanales!F116:K116))</f>
        <v>12.0208152801713</v>
      </c>
    </row>
    <row r="117" customFormat="false" ht="15" hidden="false" customHeight="false" outlineLevel="0" collapsed="false">
      <c r="A117" s="18" t="n">
        <f aca="false">Datos_Semanales!A117</f>
        <v>30001415</v>
      </c>
      <c r="B117" s="18" t="str">
        <f aca="false">Datos_Semanales!B117</f>
        <v>BON MOMENT MOCACCINO 18X200ML</v>
      </c>
      <c r="C117" s="18" t="str">
        <f aca="false">Datos_Semanales!C117</f>
        <v>LECHES LIQUIDAS</v>
      </c>
      <c r="D117" s="23" t="n">
        <f aca="false">SUM(Datos_Semanales!F117:K117)</f>
        <v>18</v>
      </c>
      <c r="E117" s="23" t="n">
        <f aca="false">AVERAGE(Datos_Semanales!F117:K117)</f>
        <v>3</v>
      </c>
      <c r="F117" s="23" t="n">
        <f aca="false">STDEV(Datos_Semanales!F117:K117)</f>
        <v>7.34846922834953</v>
      </c>
      <c r="G117" s="27" t="n">
        <f aca="false">IF(E117&gt;0,F117/E117,"")</f>
        <v>2.44948974278318</v>
      </c>
      <c r="H117" s="24" t="n">
        <f aca="false">IF(SUM($D$5:$D$137)&gt;0,D117/SUM($D$5:$D$137),0)</f>
        <v>1.63122608240245E-006</v>
      </c>
      <c r="I117" s="24" t="n">
        <f aca="false">SUMIF($D$5:$D$137,"&gt;="&amp;D117)/SUM($D$5:$D$137)</f>
        <v>1</v>
      </c>
      <c r="J117" s="3" t="str">
        <f aca="false">IF(D117&lt;=0,"C",IF(I117&lt;=Parametros!$B$4,"A",IF(I117&lt;=Parametros!$B$5,"B","C")))</f>
        <v>C</v>
      </c>
      <c r="K117" s="3" t="str">
        <f aca="false">IF(E117&lt;=0,"Z",IF(G117&lt;=Parametros!$B$6,"X",IF(G117&lt;=Parametros!$B$7,"Y","Z")))</f>
        <v>Z</v>
      </c>
      <c r="L117" s="3" t="str">
        <f aca="false">J117&amp;K117</f>
        <v>CZ</v>
      </c>
      <c r="M117" s="3" t="str">
        <f aca="false">INDEX(Parametros!$B$23:$B$31,MATCH(L117,Parametros!$A$23:$A$31,0))</f>
        <v>Contra pedido o stock mínimo. Candidato a racionalizar/descontinuar.</v>
      </c>
      <c r="N117" s="3" t="str">
        <f aca="false">INDEX(Parametros!$C$23:$C$31,MATCH(L117,Parametros!$A$23:$A$31,0))</f>
        <v>Mensual</v>
      </c>
      <c r="O117" s="23" t="n">
        <f aca="false">SUM(Datos_Semanales!M117:R117)</f>
        <v>0</v>
      </c>
      <c r="P117" s="24" t="n">
        <f aca="false">IF(D117&gt;0,SUMPRODUCT(ABS(Datos_Semanales!F117:K117-Datos_Semanales!M117:R117))/D117,"")</f>
        <v>1</v>
      </c>
      <c r="Q117" s="24" t="n">
        <f aca="false">IF(D117&gt;0,O117/D117-1,"")</f>
        <v>-1</v>
      </c>
      <c r="R117" s="23" t="n">
        <f aca="false">SQRT(SUMXMY2(Datos_Semanales!F117:K117,Datos_Semanales!M117:R117)/COUNT(Datos_Semanales!F117:K117))</f>
        <v>7.34846922834953</v>
      </c>
    </row>
    <row r="118" customFormat="false" ht="15" hidden="false" customHeight="false" outlineLevel="0" collapsed="false">
      <c r="A118" s="18" t="n">
        <f aca="false">Datos_Semanales!A118</f>
        <v>30000394</v>
      </c>
      <c r="B118" s="18" t="str">
        <f aca="false">Datos_Semanales!B118</f>
        <v>LP CALO CRECER 1+ 10X800GR</v>
      </c>
      <c r="C118" s="18" t="str">
        <f aca="false">Datos_Semanales!C118</f>
        <v>LECHES EN POLVO</v>
      </c>
      <c r="D118" s="23" t="n">
        <f aca="false">SUM(Datos_Semanales!F118:K118)</f>
        <v>0</v>
      </c>
      <c r="E118" s="23" t="n">
        <f aca="false">AVERAGE(Datos_Semanales!F118:K118)</f>
        <v>0</v>
      </c>
      <c r="F118" s="23" t="n">
        <f aca="false">STDEV(Datos_Semanales!F118:K118)</f>
        <v>0</v>
      </c>
      <c r="G118" s="27" t="str">
        <f aca="false">IF(E118&gt;0,F118/E118,"")</f>
        <v/>
      </c>
      <c r="H118" s="24" t="n">
        <f aca="false">IF(SUM($D$5:$D$137)&gt;0,D118/SUM($D$5:$D$137),0)</f>
        <v>0</v>
      </c>
      <c r="I118" s="24" t="n">
        <f aca="false">SUMIF($D$5:$D$137,"&gt;="&amp;D118)/SUM($D$5:$D$137)</f>
        <v>1</v>
      </c>
      <c r="J118" s="3" t="str">
        <f aca="false">IF(D118&lt;=0,"C",IF(I118&lt;=Parametros!$B$4,"A",IF(I118&lt;=Parametros!$B$5,"B","C")))</f>
        <v>C</v>
      </c>
      <c r="K118" s="3" t="str">
        <f aca="false">IF(E118&lt;=0,"Z",IF(G118&lt;=Parametros!$B$6,"X",IF(G118&lt;=Parametros!$B$7,"Y","Z")))</f>
        <v>Z</v>
      </c>
      <c r="L118" s="3" t="str">
        <f aca="false">J118&amp;K118</f>
        <v>CZ</v>
      </c>
      <c r="M118" s="3" t="str">
        <f aca="false">INDEX(Parametros!$B$23:$B$31,MATCH(L118,Parametros!$A$23:$A$31,0))</f>
        <v>Contra pedido o stock mínimo. Candidato a racionalizar/descontinuar.</v>
      </c>
      <c r="N118" s="3" t="str">
        <f aca="false">INDEX(Parametros!$C$23:$C$31,MATCH(L118,Parametros!$A$23:$A$31,0))</f>
        <v>Mensual</v>
      </c>
      <c r="O118" s="23" t="n">
        <f aca="false">SUM(Datos_Semanales!M118:R118)</f>
        <v>0</v>
      </c>
      <c r="P118" s="24" t="str">
        <f aca="false">IF(D118&gt;0,SUMPRODUCT(ABS(Datos_Semanales!F118:K118-Datos_Semanales!M118:R118))/D118,"")</f>
        <v/>
      </c>
      <c r="Q118" s="24" t="str">
        <f aca="false">IF(D118&gt;0,O118/D118-1,"")</f>
        <v/>
      </c>
      <c r="R118" s="23" t="n">
        <f aca="false">SQRT(SUMXMY2(Datos_Semanales!F118:K118,Datos_Semanales!M118:R118)/COUNT(Datos_Semanales!F118:K118))</f>
        <v>0</v>
      </c>
    </row>
    <row r="119" customFormat="false" ht="15" hidden="false" customHeight="false" outlineLevel="0" collapsed="false">
      <c r="A119" s="18" t="n">
        <f aca="false">Datos_Semanales!A119</f>
        <v>30000259</v>
      </c>
      <c r="B119" s="18" t="str">
        <f aca="false">Datos_Semanales!B119</f>
        <v>NECTAR W DSCO SIXPACK 30X200ML</v>
      </c>
      <c r="C119" s="18" t="str">
        <f aca="false">Datos_Semanales!C119</f>
        <v>JUGOS Y NECTARES</v>
      </c>
      <c r="D119" s="23" t="n">
        <f aca="false">SUM(Datos_Semanales!F119:K119)</f>
        <v>0</v>
      </c>
      <c r="E119" s="23" t="n">
        <f aca="false">AVERAGE(Datos_Semanales!F119:K119)</f>
        <v>0</v>
      </c>
      <c r="F119" s="23" t="n">
        <f aca="false">STDEV(Datos_Semanales!F119:K119)</f>
        <v>0</v>
      </c>
      <c r="G119" s="27" t="str">
        <f aca="false">IF(E119&gt;0,F119/E119,"")</f>
        <v/>
      </c>
      <c r="H119" s="24" t="n">
        <f aca="false">IF(SUM($D$5:$D$137)&gt;0,D119/SUM($D$5:$D$137),0)</f>
        <v>0</v>
      </c>
      <c r="I119" s="24" t="n">
        <f aca="false">SUMIF($D$5:$D$137,"&gt;="&amp;D119)/SUM($D$5:$D$137)</f>
        <v>1</v>
      </c>
      <c r="J119" s="3" t="str">
        <f aca="false">IF(D119&lt;=0,"C",IF(I119&lt;=Parametros!$B$4,"A",IF(I119&lt;=Parametros!$B$5,"B","C")))</f>
        <v>C</v>
      </c>
      <c r="K119" s="3" t="str">
        <f aca="false">IF(E119&lt;=0,"Z",IF(G119&lt;=Parametros!$B$6,"X",IF(G119&lt;=Parametros!$B$7,"Y","Z")))</f>
        <v>Z</v>
      </c>
      <c r="L119" s="3" t="str">
        <f aca="false">J119&amp;K119</f>
        <v>CZ</v>
      </c>
      <c r="M119" s="3" t="str">
        <f aca="false">INDEX(Parametros!$B$23:$B$31,MATCH(L119,Parametros!$A$23:$A$31,0))</f>
        <v>Contra pedido o stock mínimo. Candidato a racionalizar/descontinuar.</v>
      </c>
      <c r="N119" s="3" t="str">
        <f aca="false">INDEX(Parametros!$C$23:$C$31,MATCH(L119,Parametros!$A$23:$A$31,0))</f>
        <v>Mensual</v>
      </c>
      <c r="O119" s="23" t="n">
        <f aca="false">SUM(Datos_Semanales!M119:R119)</f>
        <v>0</v>
      </c>
      <c r="P119" s="24" t="str">
        <f aca="false">IF(D119&gt;0,SUMPRODUCT(ABS(Datos_Semanales!F119:K119-Datos_Semanales!M119:R119))/D119,"")</f>
        <v/>
      </c>
      <c r="Q119" s="24" t="str">
        <f aca="false">IF(D119&gt;0,O119/D119-1,"")</f>
        <v/>
      </c>
      <c r="R119" s="23" t="n">
        <f aca="false">SQRT(SUMXMY2(Datos_Semanales!F119:K119,Datos_Semanales!M119:R119)/COUNT(Datos_Semanales!F119:K119))</f>
        <v>0</v>
      </c>
    </row>
    <row r="120" customFormat="false" ht="15" hidden="false" customHeight="false" outlineLevel="0" collapsed="false">
      <c r="A120" s="18" t="n">
        <f aca="false">Datos_Semanales!A120</f>
        <v>30000311</v>
      </c>
      <c r="B120" s="18" t="str">
        <f aca="false">Datos_Semanales!B120</f>
        <v>SHAKE SHAKE MANJAR 30X170ML</v>
      </c>
      <c r="C120" s="18" t="str">
        <f aca="false">Datos_Semanales!C120</f>
        <v>LECHES LIQUIDAS</v>
      </c>
      <c r="D120" s="23" t="n">
        <f aca="false">SUM(Datos_Semanales!F120:K120)</f>
        <v>0</v>
      </c>
      <c r="E120" s="23" t="n">
        <f aca="false">AVERAGE(Datos_Semanales!F120:K120)</f>
        <v>0</v>
      </c>
      <c r="F120" s="23" t="n">
        <f aca="false">STDEV(Datos_Semanales!F120:K120)</f>
        <v>0</v>
      </c>
      <c r="G120" s="27" t="str">
        <f aca="false">IF(E120&gt;0,F120/E120,"")</f>
        <v/>
      </c>
      <c r="H120" s="24" t="n">
        <f aca="false">IF(SUM($D$5:$D$137)&gt;0,D120/SUM($D$5:$D$137),0)</f>
        <v>0</v>
      </c>
      <c r="I120" s="24" t="n">
        <f aca="false">SUMIF($D$5:$D$137,"&gt;="&amp;D120)/SUM($D$5:$D$137)</f>
        <v>1</v>
      </c>
      <c r="J120" s="3" t="str">
        <f aca="false">IF(D120&lt;=0,"C",IF(I120&lt;=Parametros!$B$4,"A",IF(I120&lt;=Parametros!$B$5,"B","C")))</f>
        <v>C</v>
      </c>
      <c r="K120" s="3" t="str">
        <f aca="false">IF(E120&lt;=0,"Z",IF(G120&lt;=Parametros!$B$6,"X",IF(G120&lt;=Parametros!$B$7,"Y","Z")))</f>
        <v>Z</v>
      </c>
      <c r="L120" s="3" t="str">
        <f aca="false">J120&amp;K120</f>
        <v>CZ</v>
      </c>
      <c r="M120" s="3" t="str">
        <f aca="false">INDEX(Parametros!$B$23:$B$31,MATCH(L120,Parametros!$A$23:$A$31,0))</f>
        <v>Contra pedido o stock mínimo. Candidato a racionalizar/descontinuar.</v>
      </c>
      <c r="N120" s="3" t="str">
        <f aca="false">INDEX(Parametros!$C$23:$C$31,MATCH(L120,Parametros!$A$23:$A$31,0))</f>
        <v>Mensual</v>
      </c>
      <c r="O120" s="23" t="n">
        <f aca="false">SUM(Datos_Semanales!M120:R120)</f>
        <v>0</v>
      </c>
      <c r="P120" s="24" t="str">
        <f aca="false">IF(D120&gt;0,SUMPRODUCT(ABS(Datos_Semanales!F120:K120-Datos_Semanales!M120:R120))/D120,"")</f>
        <v/>
      </c>
      <c r="Q120" s="24" t="str">
        <f aca="false">IF(D120&gt;0,O120/D120-1,"")</f>
        <v/>
      </c>
      <c r="R120" s="23" t="n">
        <f aca="false">SQRT(SUMXMY2(Datos_Semanales!F120:K120,Datos_Semanales!M120:R120)/COUNT(Datos_Semanales!F120:K120))</f>
        <v>0</v>
      </c>
    </row>
    <row r="121" customFormat="false" ht="15" hidden="false" customHeight="false" outlineLevel="0" collapsed="false">
      <c r="A121" s="18" t="n">
        <f aca="false">Datos_Semanales!A121</f>
        <v>30000358</v>
      </c>
      <c r="B121" s="18" t="str">
        <f aca="false">Datos_Semanales!B121</f>
        <v>LECHE POLVO 0% CALO 20X800GR</v>
      </c>
      <c r="C121" s="18" t="str">
        <f aca="false">Datos_Semanales!C121</f>
        <v>LECHES EN POLVO</v>
      </c>
      <c r="D121" s="23" t="n">
        <f aca="false">SUM(Datos_Semanales!F121:K121)</f>
        <v>0</v>
      </c>
      <c r="E121" s="23" t="n">
        <f aca="false">AVERAGE(Datos_Semanales!F121:K121)</f>
        <v>0</v>
      </c>
      <c r="F121" s="23" t="n">
        <f aca="false">STDEV(Datos_Semanales!F121:K121)</f>
        <v>0</v>
      </c>
      <c r="G121" s="27" t="str">
        <f aca="false">IF(E121&gt;0,F121/E121,"")</f>
        <v/>
      </c>
      <c r="H121" s="24" t="n">
        <f aca="false">IF(SUM($D$5:$D$137)&gt;0,D121/SUM($D$5:$D$137),0)</f>
        <v>0</v>
      </c>
      <c r="I121" s="24" t="n">
        <f aca="false">SUMIF($D$5:$D$137,"&gt;="&amp;D121)/SUM($D$5:$D$137)</f>
        <v>1</v>
      </c>
      <c r="J121" s="3" t="str">
        <f aca="false">IF(D121&lt;=0,"C",IF(I121&lt;=Parametros!$B$4,"A",IF(I121&lt;=Parametros!$B$5,"B","C")))</f>
        <v>C</v>
      </c>
      <c r="K121" s="3" t="str">
        <f aca="false">IF(E121&lt;=0,"Z",IF(G121&lt;=Parametros!$B$6,"X",IF(G121&lt;=Parametros!$B$7,"Y","Z")))</f>
        <v>Z</v>
      </c>
      <c r="L121" s="3" t="str">
        <f aca="false">J121&amp;K121</f>
        <v>CZ</v>
      </c>
      <c r="M121" s="3" t="str">
        <f aca="false">INDEX(Parametros!$B$23:$B$31,MATCH(L121,Parametros!$A$23:$A$31,0))</f>
        <v>Contra pedido o stock mínimo. Candidato a racionalizar/descontinuar.</v>
      </c>
      <c r="N121" s="3" t="str">
        <f aca="false">INDEX(Parametros!$C$23:$C$31,MATCH(L121,Parametros!$A$23:$A$31,0))</f>
        <v>Mensual</v>
      </c>
      <c r="O121" s="23" t="n">
        <f aca="false">SUM(Datos_Semanales!M121:R121)</f>
        <v>0</v>
      </c>
      <c r="P121" s="24" t="str">
        <f aca="false">IF(D121&gt;0,SUMPRODUCT(ABS(Datos_Semanales!F121:K121-Datos_Semanales!M121:R121))/D121,"")</f>
        <v/>
      </c>
      <c r="Q121" s="24" t="str">
        <f aca="false">IF(D121&gt;0,O121/D121-1,"")</f>
        <v/>
      </c>
      <c r="R121" s="23" t="n">
        <f aca="false">SQRT(SUMXMY2(Datos_Semanales!F121:K121,Datos_Semanales!M121:R121)/COUNT(Datos_Semanales!F121:K121))</f>
        <v>0</v>
      </c>
    </row>
    <row r="122" customFormat="false" ht="15" hidden="false" customHeight="false" outlineLevel="0" collapsed="false">
      <c r="A122" s="18" t="n">
        <f aca="false">Datos_Semanales!A122</f>
        <v>30001150</v>
      </c>
      <c r="B122" s="18" t="str">
        <f aca="false">Datos_Semanales!B122</f>
        <v>CALO CRECER +1 BL 6X1,5KG</v>
      </c>
      <c r="C122" s="18" t="str">
        <f aca="false">Datos_Semanales!C122</f>
        <v>LECHES EN POLVO</v>
      </c>
      <c r="D122" s="23" t="n">
        <f aca="false">SUM(Datos_Semanales!F122:K122)</f>
        <v>0</v>
      </c>
      <c r="E122" s="23" t="n">
        <f aca="false">AVERAGE(Datos_Semanales!F122:K122)</f>
        <v>0</v>
      </c>
      <c r="F122" s="23" t="n">
        <f aca="false">STDEV(Datos_Semanales!F122:K122)</f>
        <v>0</v>
      </c>
      <c r="G122" s="27" t="str">
        <f aca="false">IF(E122&gt;0,F122/E122,"")</f>
        <v/>
      </c>
      <c r="H122" s="24" t="n">
        <f aca="false">IF(SUM($D$5:$D$137)&gt;0,D122/SUM($D$5:$D$137),0)</f>
        <v>0</v>
      </c>
      <c r="I122" s="24" t="n">
        <f aca="false">SUMIF($D$5:$D$137,"&gt;="&amp;D122)/SUM($D$5:$D$137)</f>
        <v>1</v>
      </c>
      <c r="J122" s="3" t="str">
        <f aca="false">IF(D122&lt;=0,"C",IF(I122&lt;=Parametros!$B$4,"A",IF(I122&lt;=Parametros!$B$5,"B","C")))</f>
        <v>C</v>
      </c>
      <c r="K122" s="3" t="str">
        <f aca="false">IF(E122&lt;=0,"Z",IF(G122&lt;=Parametros!$B$6,"X",IF(G122&lt;=Parametros!$B$7,"Y","Z")))</f>
        <v>Z</v>
      </c>
      <c r="L122" s="3" t="str">
        <f aca="false">J122&amp;K122</f>
        <v>CZ</v>
      </c>
      <c r="M122" s="3" t="str">
        <f aca="false">INDEX(Parametros!$B$23:$B$31,MATCH(L122,Parametros!$A$23:$A$31,0))</f>
        <v>Contra pedido o stock mínimo. Candidato a racionalizar/descontinuar.</v>
      </c>
      <c r="N122" s="3" t="str">
        <f aca="false">INDEX(Parametros!$C$23:$C$31,MATCH(L122,Parametros!$A$23:$A$31,0))</f>
        <v>Mensual</v>
      </c>
      <c r="O122" s="23" t="n">
        <f aca="false">SUM(Datos_Semanales!M122:R122)</f>
        <v>0</v>
      </c>
      <c r="P122" s="24" t="str">
        <f aca="false">IF(D122&gt;0,SUMPRODUCT(ABS(Datos_Semanales!F122:K122-Datos_Semanales!M122:R122))/D122,"")</f>
        <v/>
      </c>
      <c r="Q122" s="24" t="str">
        <f aca="false">IF(D122&gt;0,O122/D122-1,"")</f>
        <v/>
      </c>
      <c r="R122" s="23" t="n">
        <f aca="false">SQRT(SUMXMY2(Datos_Semanales!F122:K122,Datos_Semanales!M122:R122)/COUNT(Datos_Semanales!F122:K122))</f>
        <v>0</v>
      </c>
    </row>
    <row r="123" customFormat="false" ht="15" hidden="false" customHeight="false" outlineLevel="0" collapsed="false">
      <c r="A123" s="18" t="n">
        <f aca="false">Datos_Semanales!A123</f>
        <v>30001118</v>
      </c>
      <c r="B123" s="18" t="str">
        <f aca="false">Datos_Semanales!B123</f>
        <v>NECTAR WATT'S NARANJA 30X200ML</v>
      </c>
      <c r="C123" s="18" t="str">
        <f aca="false">Datos_Semanales!C123</f>
        <v>JUGOS Y NECTARES</v>
      </c>
      <c r="D123" s="23" t="n">
        <f aca="false">SUM(Datos_Semanales!F123:K123)</f>
        <v>0</v>
      </c>
      <c r="E123" s="23" t="n">
        <f aca="false">AVERAGE(Datos_Semanales!F123:K123)</f>
        <v>0</v>
      </c>
      <c r="F123" s="23" t="n">
        <f aca="false">STDEV(Datos_Semanales!F123:K123)</f>
        <v>0</v>
      </c>
      <c r="G123" s="27" t="str">
        <f aca="false">IF(E123&gt;0,F123/E123,"")</f>
        <v/>
      </c>
      <c r="H123" s="24" t="n">
        <f aca="false">IF(SUM($D$5:$D$137)&gt;0,D123/SUM($D$5:$D$137),0)</f>
        <v>0</v>
      </c>
      <c r="I123" s="24" t="n">
        <f aca="false">SUMIF($D$5:$D$137,"&gt;="&amp;D123)/SUM($D$5:$D$137)</f>
        <v>1</v>
      </c>
      <c r="J123" s="3" t="str">
        <f aca="false">IF(D123&lt;=0,"C",IF(I123&lt;=Parametros!$B$4,"A",IF(I123&lt;=Parametros!$B$5,"B","C")))</f>
        <v>C</v>
      </c>
      <c r="K123" s="3" t="str">
        <f aca="false">IF(E123&lt;=0,"Z",IF(G123&lt;=Parametros!$B$6,"X",IF(G123&lt;=Parametros!$B$7,"Y","Z")))</f>
        <v>Z</v>
      </c>
      <c r="L123" s="3" t="str">
        <f aca="false">J123&amp;K123</f>
        <v>CZ</v>
      </c>
      <c r="M123" s="3" t="str">
        <f aca="false">INDEX(Parametros!$B$23:$B$31,MATCH(L123,Parametros!$A$23:$A$31,0))</f>
        <v>Contra pedido o stock mínimo. Candidato a racionalizar/descontinuar.</v>
      </c>
      <c r="N123" s="3" t="str">
        <f aca="false">INDEX(Parametros!$C$23:$C$31,MATCH(L123,Parametros!$A$23:$A$31,0))</f>
        <v>Mensual</v>
      </c>
      <c r="O123" s="23" t="n">
        <f aca="false">SUM(Datos_Semanales!M123:R123)</f>
        <v>0</v>
      </c>
      <c r="P123" s="24" t="str">
        <f aca="false">IF(D123&gt;0,SUMPRODUCT(ABS(Datos_Semanales!F123:K123-Datos_Semanales!M123:R123))/D123,"")</f>
        <v/>
      </c>
      <c r="Q123" s="24" t="str">
        <f aca="false">IF(D123&gt;0,O123/D123-1,"")</f>
        <v/>
      </c>
      <c r="R123" s="23" t="n">
        <f aca="false">SQRT(SUMXMY2(Datos_Semanales!F123:K123,Datos_Semanales!M123:R123)/COUNT(Datos_Semanales!F123:K123))</f>
        <v>0</v>
      </c>
    </row>
    <row r="124" customFormat="false" ht="15" hidden="false" customHeight="false" outlineLevel="0" collapsed="false">
      <c r="A124" s="18" t="n">
        <f aca="false">Datos_Semanales!A124</f>
        <v>30001276</v>
      </c>
      <c r="B124" s="18" t="str">
        <f aca="false">Datos_Semanales!B124</f>
        <v>LECHE REGIMEL DESCR 30X200ML</v>
      </c>
      <c r="C124" s="18" t="str">
        <f aca="false">Datos_Semanales!C124</f>
        <v>LECHES LIQUIDAS</v>
      </c>
      <c r="D124" s="23" t="n">
        <f aca="false">SUM(Datos_Semanales!F124:K124)</f>
        <v>0</v>
      </c>
      <c r="E124" s="23" t="n">
        <f aca="false">AVERAGE(Datos_Semanales!F124:K124)</f>
        <v>0</v>
      </c>
      <c r="F124" s="23" t="n">
        <f aca="false">STDEV(Datos_Semanales!F124:K124)</f>
        <v>0</v>
      </c>
      <c r="G124" s="27" t="str">
        <f aca="false">IF(E124&gt;0,F124/E124,"")</f>
        <v/>
      </c>
      <c r="H124" s="24" t="n">
        <f aca="false">IF(SUM($D$5:$D$137)&gt;0,D124/SUM($D$5:$D$137),0)</f>
        <v>0</v>
      </c>
      <c r="I124" s="24" t="n">
        <f aca="false">SUMIF($D$5:$D$137,"&gt;="&amp;D124)/SUM($D$5:$D$137)</f>
        <v>1</v>
      </c>
      <c r="J124" s="3" t="str">
        <f aca="false">IF(D124&lt;=0,"C",IF(I124&lt;=Parametros!$B$4,"A",IF(I124&lt;=Parametros!$B$5,"B","C")))</f>
        <v>C</v>
      </c>
      <c r="K124" s="3" t="str">
        <f aca="false">IF(E124&lt;=0,"Z",IF(G124&lt;=Parametros!$B$6,"X",IF(G124&lt;=Parametros!$B$7,"Y","Z")))</f>
        <v>Z</v>
      </c>
      <c r="L124" s="3" t="str">
        <f aca="false">J124&amp;K124</f>
        <v>CZ</v>
      </c>
      <c r="M124" s="3" t="str">
        <f aca="false">INDEX(Parametros!$B$23:$B$31,MATCH(L124,Parametros!$A$23:$A$31,0))</f>
        <v>Contra pedido o stock mínimo. Candidato a racionalizar/descontinuar.</v>
      </c>
      <c r="N124" s="3" t="str">
        <f aca="false">INDEX(Parametros!$C$23:$C$31,MATCH(L124,Parametros!$A$23:$A$31,0))</f>
        <v>Mensual</v>
      </c>
      <c r="O124" s="23" t="n">
        <f aca="false">SUM(Datos_Semanales!M124:R124)</f>
        <v>0</v>
      </c>
      <c r="P124" s="24" t="str">
        <f aca="false">IF(D124&gt;0,SUMPRODUCT(ABS(Datos_Semanales!F124:K124-Datos_Semanales!M124:R124))/D124,"")</f>
        <v/>
      </c>
      <c r="Q124" s="24" t="str">
        <f aca="false">IF(D124&gt;0,O124/D124-1,"")</f>
        <v/>
      </c>
      <c r="R124" s="23" t="n">
        <f aca="false">SQRT(SUMXMY2(Datos_Semanales!F124:K124,Datos_Semanales!M124:R124)/COUNT(Datos_Semanales!F124:K124))</f>
        <v>0</v>
      </c>
    </row>
    <row r="125" customFormat="false" ht="15" hidden="false" customHeight="false" outlineLevel="0" collapsed="false">
      <c r="A125" s="18" t="n">
        <f aca="false">Datos_Semanales!A125</f>
        <v>30000395</v>
      </c>
      <c r="B125" s="18" t="str">
        <f aca="false">Datos_Semanales!B125</f>
        <v>LP CALO CRECER 4+ 10X800GR</v>
      </c>
      <c r="C125" s="18" t="str">
        <f aca="false">Datos_Semanales!C125</f>
        <v>LECHES EN POLVO</v>
      </c>
      <c r="D125" s="23" t="n">
        <f aca="false">SUM(Datos_Semanales!F125:K125)</f>
        <v>0</v>
      </c>
      <c r="E125" s="23" t="n">
        <f aca="false">AVERAGE(Datos_Semanales!F125:K125)</f>
        <v>0</v>
      </c>
      <c r="F125" s="23" t="n">
        <f aca="false">STDEV(Datos_Semanales!F125:K125)</f>
        <v>0</v>
      </c>
      <c r="G125" s="27" t="str">
        <f aca="false">IF(E125&gt;0,F125/E125,"")</f>
        <v/>
      </c>
      <c r="H125" s="24" t="n">
        <f aca="false">IF(SUM($D$5:$D$137)&gt;0,D125/SUM($D$5:$D$137),0)</f>
        <v>0</v>
      </c>
      <c r="I125" s="24" t="n">
        <f aca="false">SUMIF($D$5:$D$137,"&gt;="&amp;D125)/SUM($D$5:$D$137)</f>
        <v>1</v>
      </c>
      <c r="J125" s="3" t="str">
        <f aca="false">IF(D125&lt;=0,"C",IF(I125&lt;=Parametros!$B$4,"A",IF(I125&lt;=Parametros!$B$5,"B","C")))</f>
        <v>C</v>
      </c>
      <c r="K125" s="3" t="str">
        <f aca="false">IF(E125&lt;=0,"Z",IF(G125&lt;=Parametros!$B$6,"X",IF(G125&lt;=Parametros!$B$7,"Y","Z")))</f>
        <v>Z</v>
      </c>
      <c r="L125" s="3" t="str">
        <f aca="false">J125&amp;K125</f>
        <v>CZ</v>
      </c>
      <c r="M125" s="3" t="str">
        <f aca="false">INDEX(Parametros!$B$23:$B$31,MATCH(L125,Parametros!$A$23:$A$31,0))</f>
        <v>Contra pedido o stock mínimo. Candidato a racionalizar/descontinuar.</v>
      </c>
      <c r="N125" s="3" t="str">
        <f aca="false">INDEX(Parametros!$C$23:$C$31,MATCH(L125,Parametros!$A$23:$A$31,0))</f>
        <v>Mensual</v>
      </c>
      <c r="O125" s="23" t="n">
        <f aca="false">SUM(Datos_Semanales!M125:R125)</f>
        <v>0</v>
      </c>
      <c r="P125" s="24" t="str">
        <f aca="false">IF(D125&gt;0,SUMPRODUCT(ABS(Datos_Semanales!F125:K125-Datos_Semanales!M125:R125))/D125,"")</f>
        <v/>
      </c>
      <c r="Q125" s="24" t="str">
        <f aca="false">IF(D125&gt;0,O125/D125-1,"")</f>
        <v/>
      </c>
      <c r="R125" s="23" t="n">
        <f aca="false">SQRT(SUMXMY2(Datos_Semanales!F125:K125,Datos_Semanales!M125:R125)/COUNT(Datos_Semanales!F125:K125))</f>
        <v>0</v>
      </c>
    </row>
    <row r="126" customFormat="false" ht="15" hidden="false" customHeight="false" outlineLevel="0" collapsed="false">
      <c r="A126" s="18" t="n">
        <f aca="false">Datos_Semanales!A126</f>
        <v>30000420</v>
      </c>
      <c r="B126" s="18" t="str">
        <f aca="false">Datos_Semanales!B126</f>
        <v>LECHE REGIMEL CHOCOLATE 30X200ML</v>
      </c>
      <c r="C126" s="18" t="str">
        <f aca="false">Datos_Semanales!C126</f>
        <v>LECHES LIQUIDAS</v>
      </c>
      <c r="D126" s="23" t="n">
        <f aca="false">SUM(Datos_Semanales!F126:K126)</f>
        <v>0</v>
      </c>
      <c r="E126" s="23" t="n">
        <f aca="false">AVERAGE(Datos_Semanales!F126:K126)</f>
        <v>0</v>
      </c>
      <c r="F126" s="23" t="n">
        <f aca="false">STDEV(Datos_Semanales!F126:K126)</f>
        <v>0</v>
      </c>
      <c r="G126" s="27" t="str">
        <f aca="false">IF(E126&gt;0,F126/E126,"")</f>
        <v/>
      </c>
      <c r="H126" s="24" t="n">
        <f aca="false">IF(SUM($D$5:$D$137)&gt;0,D126/SUM($D$5:$D$137),0)</f>
        <v>0</v>
      </c>
      <c r="I126" s="24" t="n">
        <f aca="false">SUMIF($D$5:$D$137,"&gt;="&amp;D126)/SUM($D$5:$D$137)</f>
        <v>1</v>
      </c>
      <c r="J126" s="3" t="str">
        <f aca="false">IF(D126&lt;=0,"C",IF(I126&lt;=Parametros!$B$4,"A",IF(I126&lt;=Parametros!$B$5,"B","C")))</f>
        <v>C</v>
      </c>
      <c r="K126" s="3" t="str">
        <f aca="false">IF(E126&lt;=0,"Z",IF(G126&lt;=Parametros!$B$6,"X",IF(G126&lt;=Parametros!$B$7,"Y","Z")))</f>
        <v>Z</v>
      </c>
      <c r="L126" s="3" t="str">
        <f aca="false">J126&amp;K126</f>
        <v>CZ</v>
      </c>
      <c r="M126" s="3" t="str">
        <f aca="false">INDEX(Parametros!$B$23:$B$31,MATCH(L126,Parametros!$A$23:$A$31,0))</f>
        <v>Contra pedido o stock mínimo. Candidato a racionalizar/descontinuar.</v>
      </c>
      <c r="N126" s="3" t="str">
        <f aca="false">INDEX(Parametros!$C$23:$C$31,MATCH(L126,Parametros!$A$23:$A$31,0))</f>
        <v>Mensual</v>
      </c>
      <c r="O126" s="23" t="n">
        <f aca="false">SUM(Datos_Semanales!M126:R126)</f>
        <v>0</v>
      </c>
      <c r="P126" s="24" t="str">
        <f aca="false">IF(D126&gt;0,SUMPRODUCT(ABS(Datos_Semanales!F126:K126-Datos_Semanales!M126:R126))/D126,"")</f>
        <v/>
      </c>
      <c r="Q126" s="24" t="str">
        <f aca="false">IF(D126&gt;0,O126/D126-1,"")</f>
        <v/>
      </c>
      <c r="R126" s="23" t="n">
        <f aca="false">SQRT(SUMXMY2(Datos_Semanales!F126:K126,Datos_Semanales!M126:R126)/COUNT(Datos_Semanales!F126:K126))</f>
        <v>0</v>
      </c>
    </row>
    <row r="127" customFormat="false" ht="15" hidden="false" customHeight="false" outlineLevel="0" collapsed="false">
      <c r="A127" s="18" t="n">
        <f aca="false">Datos_Semanales!A127</f>
        <v>30000390</v>
      </c>
      <c r="B127" s="18" t="str">
        <f aca="false">Datos_Semanales!B127</f>
        <v>ALIMEN SOYA LIQUIDO NATU 12X1LT</v>
      </c>
      <c r="C127" s="18" t="str">
        <f aca="false">Datos_Semanales!C127</f>
        <v>LECHES LIQUIDAS</v>
      </c>
      <c r="D127" s="23" t="n">
        <f aca="false">SUM(Datos_Semanales!F127:K127)</f>
        <v>0</v>
      </c>
      <c r="E127" s="23" t="n">
        <f aca="false">AVERAGE(Datos_Semanales!F127:K127)</f>
        <v>0</v>
      </c>
      <c r="F127" s="23" t="n">
        <f aca="false">STDEV(Datos_Semanales!F127:K127)</f>
        <v>0</v>
      </c>
      <c r="G127" s="27" t="str">
        <f aca="false">IF(E127&gt;0,F127/E127,"")</f>
        <v/>
      </c>
      <c r="H127" s="24" t="n">
        <f aca="false">IF(SUM($D$5:$D$137)&gt;0,D127/SUM($D$5:$D$137),0)</f>
        <v>0</v>
      </c>
      <c r="I127" s="24" t="n">
        <f aca="false">SUMIF($D$5:$D$137,"&gt;="&amp;D127)/SUM($D$5:$D$137)</f>
        <v>1</v>
      </c>
      <c r="J127" s="3" t="str">
        <f aca="false">IF(D127&lt;=0,"C",IF(I127&lt;=Parametros!$B$4,"A",IF(I127&lt;=Parametros!$B$5,"B","C")))</f>
        <v>C</v>
      </c>
      <c r="K127" s="3" t="str">
        <f aca="false">IF(E127&lt;=0,"Z",IF(G127&lt;=Parametros!$B$6,"X",IF(G127&lt;=Parametros!$B$7,"Y","Z")))</f>
        <v>Z</v>
      </c>
      <c r="L127" s="3" t="str">
        <f aca="false">J127&amp;K127</f>
        <v>CZ</v>
      </c>
      <c r="M127" s="3" t="str">
        <f aca="false">INDEX(Parametros!$B$23:$B$31,MATCH(L127,Parametros!$A$23:$A$31,0))</f>
        <v>Contra pedido o stock mínimo. Candidato a racionalizar/descontinuar.</v>
      </c>
      <c r="N127" s="3" t="str">
        <f aca="false">INDEX(Parametros!$C$23:$C$31,MATCH(L127,Parametros!$A$23:$A$31,0))</f>
        <v>Mensual</v>
      </c>
      <c r="O127" s="23" t="n">
        <f aca="false">SUM(Datos_Semanales!M127:R127)</f>
        <v>0</v>
      </c>
      <c r="P127" s="24" t="str">
        <f aca="false">IF(D127&gt;0,SUMPRODUCT(ABS(Datos_Semanales!F127:K127-Datos_Semanales!M127:R127))/D127,"")</f>
        <v/>
      </c>
      <c r="Q127" s="24" t="str">
        <f aca="false">IF(D127&gt;0,O127/D127-1,"")</f>
        <v/>
      </c>
      <c r="R127" s="23" t="n">
        <f aca="false">SQRT(SUMXMY2(Datos_Semanales!F127:K127,Datos_Semanales!M127:R127)/COUNT(Datos_Semanales!F127:K127))</f>
        <v>0</v>
      </c>
    </row>
    <row r="128" customFormat="false" ht="15" hidden="false" customHeight="false" outlineLevel="0" collapsed="false">
      <c r="A128" s="18" t="n">
        <f aca="false">Datos_Semanales!A128</f>
        <v>30000477</v>
      </c>
      <c r="B128" s="18" t="str">
        <f aca="false">Datos_Semanales!B128</f>
        <v>LONCOLECHE BREAK CARAME 18X330ML</v>
      </c>
      <c r="C128" s="18" t="str">
        <f aca="false">Datos_Semanales!C128</f>
        <v>LECHES LIQUIDAS</v>
      </c>
      <c r="D128" s="23" t="n">
        <f aca="false">SUM(Datos_Semanales!F128:K128)</f>
        <v>0</v>
      </c>
      <c r="E128" s="23" t="n">
        <f aca="false">AVERAGE(Datos_Semanales!F128:K128)</f>
        <v>0</v>
      </c>
      <c r="F128" s="23" t="n">
        <f aca="false">STDEV(Datos_Semanales!F128:K128)</f>
        <v>0</v>
      </c>
      <c r="G128" s="27" t="str">
        <f aca="false">IF(E128&gt;0,F128/E128,"")</f>
        <v/>
      </c>
      <c r="H128" s="24" t="n">
        <f aca="false">IF(SUM($D$5:$D$137)&gt;0,D128/SUM($D$5:$D$137),0)</f>
        <v>0</v>
      </c>
      <c r="I128" s="24" t="n">
        <f aca="false">SUMIF($D$5:$D$137,"&gt;="&amp;D128)/SUM($D$5:$D$137)</f>
        <v>1</v>
      </c>
      <c r="J128" s="3" t="str">
        <f aca="false">IF(D128&lt;=0,"C",IF(I128&lt;=Parametros!$B$4,"A",IF(I128&lt;=Parametros!$B$5,"B","C")))</f>
        <v>C</v>
      </c>
      <c r="K128" s="3" t="str">
        <f aca="false">IF(E128&lt;=0,"Z",IF(G128&lt;=Parametros!$B$6,"X",IF(G128&lt;=Parametros!$B$7,"Y","Z")))</f>
        <v>Z</v>
      </c>
      <c r="L128" s="3" t="str">
        <f aca="false">J128&amp;K128</f>
        <v>CZ</v>
      </c>
      <c r="M128" s="3" t="str">
        <f aca="false">INDEX(Parametros!$B$23:$B$31,MATCH(L128,Parametros!$A$23:$A$31,0))</f>
        <v>Contra pedido o stock mínimo. Candidato a racionalizar/descontinuar.</v>
      </c>
      <c r="N128" s="3" t="str">
        <f aca="false">INDEX(Parametros!$C$23:$C$31,MATCH(L128,Parametros!$A$23:$A$31,0))</f>
        <v>Mensual</v>
      </c>
      <c r="O128" s="23" t="n">
        <f aca="false">SUM(Datos_Semanales!M128:R128)</f>
        <v>0</v>
      </c>
      <c r="P128" s="24" t="str">
        <f aca="false">IF(D128&gt;0,SUMPRODUCT(ABS(Datos_Semanales!F128:K128-Datos_Semanales!M128:R128))/D128,"")</f>
        <v/>
      </c>
      <c r="Q128" s="24" t="str">
        <f aca="false">IF(D128&gt;0,O128/D128-1,"")</f>
        <v/>
      </c>
      <c r="R128" s="23" t="n">
        <f aca="false">SQRT(SUMXMY2(Datos_Semanales!F128:K128,Datos_Semanales!M128:R128)/COUNT(Datos_Semanales!F128:K128))</f>
        <v>0</v>
      </c>
    </row>
    <row r="129" customFormat="false" ht="15" hidden="false" customHeight="false" outlineLevel="0" collapsed="false">
      <c r="A129" s="18" t="n">
        <f aca="false">Datos_Semanales!A129</f>
        <v>30000515</v>
      </c>
      <c r="B129" s="18" t="str">
        <f aca="false">Datos_Semanales!B129</f>
        <v>LONCO PROTEIN MILK CAPP 18X330ML</v>
      </c>
      <c r="C129" s="18" t="str">
        <f aca="false">Datos_Semanales!C129</f>
        <v>LECHES LIQUIDAS</v>
      </c>
      <c r="D129" s="23" t="n">
        <f aca="false">SUM(Datos_Semanales!F129:K129)</f>
        <v>0</v>
      </c>
      <c r="E129" s="23" t="n">
        <f aca="false">AVERAGE(Datos_Semanales!F129:K129)</f>
        <v>0</v>
      </c>
      <c r="F129" s="23" t="n">
        <f aca="false">STDEV(Datos_Semanales!F129:K129)</f>
        <v>0</v>
      </c>
      <c r="G129" s="27" t="str">
        <f aca="false">IF(E129&gt;0,F129/E129,"")</f>
        <v/>
      </c>
      <c r="H129" s="24" t="n">
        <f aca="false">IF(SUM($D$5:$D$137)&gt;0,D129/SUM($D$5:$D$137),0)</f>
        <v>0</v>
      </c>
      <c r="I129" s="24" t="n">
        <f aca="false">SUMIF($D$5:$D$137,"&gt;="&amp;D129)/SUM($D$5:$D$137)</f>
        <v>1</v>
      </c>
      <c r="J129" s="3" t="str">
        <f aca="false">IF(D129&lt;=0,"C",IF(I129&lt;=Parametros!$B$4,"A",IF(I129&lt;=Parametros!$B$5,"B","C")))</f>
        <v>C</v>
      </c>
      <c r="K129" s="3" t="str">
        <f aca="false">IF(E129&lt;=0,"Z",IF(G129&lt;=Parametros!$B$6,"X",IF(G129&lt;=Parametros!$B$7,"Y","Z")))</f>
        <v>Z</v>
      </c>
      <c r="L129" s="3" t="str">
        <f aca="false">J129&amp;K129</f>
        <v>CZ</v>
      </c>
      <c r="M129" s="3" t="str">
        <f aca="false">INDEX(Parametros!$B$23:$B$31,MATCH(L129,Parametros!$A$23:$A$31,0))</f>
        <v>Contra pedido o stock mínimo. Candidato a racionalizar/descontinuar.</v>
      </c>
      <c r="N129" s="3" t="str">
        <f aca="false">INDEX(Parametros!$C$23:$C$31,MATCH(L129,Parametros!$A$23:$A$31,0))</f>
        <v>Mensual</v>
      </c>
      <c r="O129" s="23" t="n">
        <f aca="false">SUM(Datos_Semanales!M129:R129)</f>
        <v>0</v>
      </c>
      <c r="P129" s="24" t="str">
        <f aca="false">IF(D129&gt;0,SUMPRODUCT(ABS(Datos_Semanales!F129:K129-Datos_Semanales!M129:R129))/D129,"")</f>
        <v/>
      </c>
      <c r="Q129" s="24" t="str">
        <f aca="false">IF(D129&gt;0,O129/D129-1,"")</f>
        <v/>
      </c>
      <c r="R129" s="23" t="n">
        <f aca="false">SQRT(SUMXMY2(Datos_Semanales!F129:K129,Datos_Semanales!M129:R129)/COUNT(Datos_Semanales!F129:K129))</f>
        <v>0</v>
      </c>
    </row>
    <row r="130" customFormat="false" ht="15" hidden="false" customHeight="false" outlineLevel="0" collapsed="false">
      <c r="A130" s="18" t="n">
        <f aca="false">Datos_Semanales!A130</f>
        <v>30001973</v>
      </c>
      <c r="B130" s="18" t="str">
        <f aca="false">Datos_Semanales!B130</f>
        <v>BEBIDA LONCOLECHE AVENA CHOCOLATE 6X1LT</v>
      </c>
      <c r="C130" s="18" t="str">
        <f aca="false">Datos_Semanales!C130</f>
        <v>LECHES LIQUIDAS</v>
      </c>
      <c r="D130" s="23" t="n">
        <f aca="false">SUM(Datos_Semanales!F130:K130)</f>
        <v>0</v>
      </c>
      <c r="E130" s="23" t="n">
        <f aca="false">AVERAGE(Datos_Semanales!F130:K130)</f>
        <v>0</v>
      </c>
      <c r="F130" s="23" t="n">
        <f aca="false">STDEV(Datos_Semanales!F130:K130)</f>
        <v>0</v>
      </c>
      <c r="G130" s="27" t="str">
        <f aca="false">IF(E130&gt;0,F130/E130,"")</f>
        <v/>
      </c>
      <c r="H130" s="24" t="n">
        <f aca="false">IF(SUM($D$5:$D$137)&gt;0,D130/SUM($D$5:$D$137),0)</f>
        <v>0</v>
      </c>
      <c r="I130" s="24" t="n">
        <f aca="false">SUMIF($D$5:$D$137,"&gt;="&amp;D130)/SUM($D$5:$D$137)</f>
        <v>1</v>
      </c>
      <c r="J130" s="3" t="str">
        <f aca="false">IF(D130&lt;=0,"C",IF(I130&lt;=Parametros!$B$4,"A",IF(I130&lt;=Parametros!$B$5,"B","C")))</f>
        <v>C</v>
      </c>
      <c r="K130" s="3" t="str">
        <f aca="false">IF(E130&lt;=0,"Z",IF(G130&lt;=Parametros!$B$6,"X",IF(G130&lt;=Parametros!$B$7,"Y","Z")))</f>
        <v>Z</v>
      </c>
      <c r="L130" s="3" t="str">
        <f aca="false">J130&amp;K130</f>
        <v>CZ</v>
      </c>
      <c r="M130" s="3" t="str">
        <f aca="false">INDEX(Parametros!$B$23:$B$31,MATCH(L130,Parametros!$A$23:$A$31,0))</f>
        <v>Contra pedido o stock mínimo. Candidato a racionalizar/descontinuar.</v>
      </c>
      <c r="N130" s="3" t="str">
        <f aca="false">INDEX(Parametros!$C$23:$C$31,MATCH(L130,Parametros!$A$23:$A$31,0))</f>
        <v>Mensual</v>
      </c>
      <c r="O130" s="23" t="n">
        <f aca="false">SUM(Datos_Semanales!M130:R130)</f>
        <v>241.791666666667</v>
      </c>
      <c r="P130" s="24" t="str">
        <f aca="false">IF(D130&gt;0,SUMPRODUCT(ABS(Datos_Semanales!F130:K130-Datos_Semanales!M130:R130))/D130,"")</f>
        <v/>
      </c>
      <c r="Q130" s="24" t="str">
        <f aca="false">IF(D130&gt;0,O130/D130-1,"")</f>
        <v/>
      </c>
      <c r="R130" s="23" t="n">
        <f aca="false">SQRT(SUMXMY2(Datos_Semanales!F130:K130,Datos_Semanales!M130:R130)/COUNT(Datos_Semanales!F130:K130))</f>
        <v>51.5375430623871</v>
      </c>
    </row>
    <row r="131" customFormat="false" ht="15" hidden="false" customHeight="false" outlineLevel="0" collapsed="false">
      <c r="A131" s="18" t="n">
        <f aca="false">Datos_Semanales!A131</f>
        <v>30001762</v>
      </c>
      <c r="B131" s="18" t="str">
        <f aca="false">Datos_Semanales!B131</f>
        <v>NECTAR WATTS DURAZNO SIXPACK 5X6X115ML</v>
      </c>
      <c r="C131" s="18" t="str">
        <f aca="false">Datos_Semanales!C131</f>
        <v>JUGOS Y NECTARES</v>
      </c>
      <c r="D131" s="23" t="n">
        <f aca="false">SUM(Datos_Semanales!F131:K131)</f>
        <v>0</v>
      </c>
      <c r="E131" s="23" t="n">
        <f aca="false">AVERAGE(Datos_Semanales!F131:K131)</f>
        <v>0</v>
      </c>
      <c r="F131" s="23" t="n">
        <f aca="false">STDEV(Datos_Semanales!F131:K131)</f>
        <v>0</v>
      </c>
      <c r="G131" s="27" t="str">
        <f aca="false">IF(E131&gt;0,F131/E131,"")</f>
        <v/>
      </c>
      <c r="H131" s="24" t="n">
        <f aca="false">IF(SUM($D$5:$D$137)&gt;0,D131/SUM($D$5:$D$137),0)</f>
        <v>0</v>
      </c>
      <c r="I131" s="24" t="n">
        <f aca="false">SUMIF($D$5:$D$137,"&gt;="&amp;D131)/SUM($D$5:$D$137)</f>
        <v>1</v>
      </c>
      <c r="J131" s="3" t="str">
        <f aca="false">IF(D131&lt;=0,"C",IF(I131&lt;=Parametros!$B$4,"A",IF(I131&lt;=Parametros!$B$5,"B","C")))</f>
        <v>C</v>
      </c>
      <c r="K131" s="3" t="str">
        <f aca="false">IF(E131&lt;=0,"Z",IF(G131&lt;=Parametros!$B$6,"X",IF(G131&lt;=Parametros!$B$7,"Y","Z")))</f>
        <v>Z</v>
      </c>
      <c r="L131" s="3" t="str">
        <f aca="false">J131&amp;K131</f>
        <v>CZ</v>
      </c>
      <c r="M131" s="3" t="str">
        <f aca="false">INDEX(Parametros!$B$23:$B$31,MATCH(L131,Parametros!$A$23:$A$31,0))</f>
        <v>Contra pedido o stock mínimo. Candidato a racionalizar/descontinuar.</v>
      </c>
      <c r="N131" s="3" t="str">
        <f aca="false">INDEX(Parametros!$C$23:$C$31,MATCH(L131,Parametros!$A$23:$A$31,0))</f>
        <v>Mensual</v>
      </c>
      <c r="O131" s="23" t="n">
        <f aca="false">SUM(Datos_Semanales!M131:R131)</f>
        <v>0</v>
      </c>
      <c r="P131" s="24" t="str">
        <f aca="false">IF(D131&gt;0,SUMPRODUCT(ABS(Datos_Semanales!F131:K131-Datos_Semanales!M131:R131))/D131,"")</f>
        <v/>
      </c>
      <c r="Q131" s="24" t="str">
        <f aca="false">IF(D131&gt;0,O131/D131-1,"")</f>
        <v/>
      </c>
      <c r="R131" s="23" t="n">
        <f aca="false">SQRT(SUMXMY2(Datos_Semanales!F131:K131,Datos_Semanales!M131:R131)/COUNT(Datos_Semanales!F131:K131))</f>
        <v>0</v>
      </c>
    </row>
    <row r="132" customFormat="false" ht="15" hidden="false" customHeight="false" outlineLevel="0" collapsed="false">
      <c r="A132" s="18" t="n">
        <f aca="false">Datos_Semanales!A132</f>
        <v>30001485</v>
      </c>
      <c r="B132" s="18" t="str">
        <f aca="false">Datos_Semanales!B132</f>
        <v>ALIMENTO LIQUIDO ALMENDRA NATURAL 12X1LT</v>
      </c>
      <c r="C132" s="18" t="str">
        <f aca="false">Datos_Semanales!C132</f>
        <v>LECHES LIQUIDAS</v>
      </c>
      <c r="D132" s="23" t="n">
        <f aca="false">SUM(Datos_Semanales!F132:K132)</f>
        <v>0</v>
      </c>
      <c r="E132" s="23" t="n">
        <f aca="false">AVERAGE(Datos_Semanales!F132:K132)</f>
        <v>0</v>
      </c>
      <c r="F132" s="23" t="n">
        <f aca="false">STDEV(Datos_Semanales!F132:K132)</f>
        <v>0</v>
      </c>
      <c r="G132" s="27" t="str">
        <f aca="false">IF(E132&gt;0,F132/E132,"")</f>
        <v/>
      </c>
      <c r="H132" s="24" t="n">
        <f aca="false">IF(SUM($D$5:$D$137)&gt;0,D132/SUM($D$5:$D$137),0)</f>
        <v>0</v>
      </c>
      <c r="I132" s="24" t="n">
        <f aca="false">SUMIF($D$5:$D$137,"&gt;="&amp;D132)/SUM($D$5:$D$137)</f>
        <v>1</v>
      </c>
      <c r="J132" s="3" t="str">
        <f aca="false">IF(D132&lt;=0,"C",IF(I132&lt;=Parametros!$B$4,"A",IF(I132&lt;=Parametros!$B$5,"B","C")))</f>
        <v>C</v>
      </c>
      <c r="K132" s="3" t="str">
        <f aca="false">IF(E132&lt;=0,"Z",IF(G132&lt;=Parametros!$B$6,"X",IF(G132&lt;=Parametros!$B$7,"Y","Z")))</f>
        <v>Z</v>
      </c>
      <c r="L132" s="3" t="str">
        <f aca="false">J132&amp;K132</f>
        <v>CZ</v>
      </c>
      <c r="M132" s="3" t="str">
        <f aca="false">INDEX(Parametros!$B$23:$B$31,MATCH(L132,Parametros!$A$23:$A$31,0))</f>
        <v>Contra pedido o stock mínimo. Candidato a racionalizar/descontinuar.</v>
      </c>
      <c r="N132" s="3" t="str">
        <f aca="false">INDEX(Parametros!$C$23:$C$31,MATCH(L132,Parametros!$A$23:$A$31,0))</f>
        <v>Mensual</v>
      </c>
      <c r="O132" s="23" t="n">
        <f aca="false">SUM(Datos_Semanales!M132:R132)</f>
        <v>0</v>
      </c>
      <c r="P132" s="24" t="str">
        <f aca="false">IF(D132&gt;0,SUMPRODUCT(ABS(Datos_Semanales!F132:K132-Datos_Semanales!M132:R132))/D132,"")</f>
        <v/>
      </c>
      <c r="Q132" s="24" t="str">
        <f aca="false">IF(D132&gt;0,O132/D132-1,"")</f>
        <v/>
      </c>
      <c r="R132" s="23" t="n">
        <f aca="false">SQRT(SUMXMY2(Datos_Semanales!F132:K132,Datos_Semanales!M132:R132)/COUNT(Datos_Semanales!F132:K132))</f>
        <v>0</v>
      </c>
    </row>
    <row r="133" customFormat="false" ht="15" hidden="false" customHeight="false" outlineLevel="0" collapsed="false">
      <c r="A133" s="18" t="n">
        <f aca="false">Datos_Semanales!A133</f>
        <v>30001414</v>
      </c>
      <c r="B133" s="18" t="str">
        <f aca="false">Datos_Semanales!B133</f>
        <v>BON MOMENT CAPPUCCINO 18X200ML</v>
      </c>
      <c r="C133" s="18" t="str">
        <f aca="false">Datos_Semanales!C133</f>
        <v>LECHES LIQUIDAS</v>
      </c>
      <c r="D133" s="23" t="n">
        <f aca="false">SUM(Datos_Semanales!F133:K133)</f>
        <v>0</v>
      </c>
      <c r="E133" s="23" t="n">
        <f aca="false">AVERAGE(Datos_Semanales!F133:K133)</f>
        <v>0</v>
      </c>
      <c r="F133" s="23" t="n">
        <f aca="false">STDEV(Datos_Semanales!F133:K133)</f>
        <v>0</v>
      </c>
      <c r="G133" s="27" t="str">
        <f aca="false">IF(E133&gt;0,F133/E133,"")</f>
        <v/>
      </c>
      <c r="H133" s="24" t="n">
        <f aca="false">IF(SUM($D$5:$D$137)&gt;0,D133/SUM($D$5:$D$137),0)</f>
        <v>0</v>
      </c>
      <c r="I133" s="24" t="n">
        <f aca="false">SUMIF($D$5:$D$137,"&gt;="&amp;D133)/SUM($D$5:$D$137)</f>
        <v>1</v>
      </c>
      <c r="J133" s="3" t="str">
        <f aca="false">IF(D133&lt;=0,"C",IF(I133&lt;=Parametros!$B$4,"A",IF(I133&lt;=Parametros!$B$5,"B","C")))</f>
        <v>C</v>
      </c>
      <c r="K133" s="3" t="str">
        <f aca="false">IF(E133&lt;=0,"Z",IF(G133&lt;=Parametros!$B$6,"X",IF(G133&lt;=Parametros!$B$7,"Y","Z")))</f>
        <v>Z</v>
      </c>
      <c r="L133" s="3" t="str">
        <f aca="false">J133&amp;K133</f>
        <v>CZ</v>
      </c>
      <c r="M133" s="3" t="str">
        <f aca="false">INDEX(Parametros!$B$23:$B$31,MATCH(L133,Parametros!$A$23:$A$31,0))</f>
        <v>Contra pedido o stock mínimo. Candidato a racionalizar/descontinuar.</v>
      </c>
      <c r="N133" s="3" t="str">
        <f aca="false">INDEX(Parametros!$C$23:$C$31,MATCH(L133,Parametros!$A$23:$A$31,0))</f>
        <v>Mensual</v>
      </c>
      <c r="O133" s="23" t="n">
        <f aca="false">SUM(Datos_Semanales!M133:R133)</f>
        <v>0</v>
      </c>
      <c r="P133" s="24" t="str">
        <f aca="false">IF(D133&gt;0,SUMPRODUCT(ABS(Datos_Semanales!F133:K133-Datos_Semanales!M133:R133))/D133,"")</f>
        <v/>
      </c>
      <c r="Q133" s="24" t="str">
        <f aca="false">IF(D133&gt;0,O133/D133-1,"")</f>
        <v/>
      </c>
      <c r="R133" s="23" t="n">
        <f aca="false">SQRT(SUMXMY2(Datos_Semanales!F133:K133,Datos_Semanales!M133:R133)/COUNT(Datos_Semanales!F133:K133))</f>
        <v>0</v>
      </c>
    </row>
    <row r="134" customFormat="false" ht="15" hidden="false" customHeight="false" outlineLevel="0" collapsed="false">
      <c r="A134" s="18" t="n">
        <f aca="false">Datos_Semanales!A134</f>
        <v>30001676</v>
      </c>
      <c r="B134" s="18" t="str">
        <f aca="false">Datos_Semanales!B134</f>
        <v>CREMA VEGETAL LCO SOYA TTP24X200</v>
      </c>
      <c r="C134" s="18" t="str">
        <f aca="false">Datos_Semanales!C134</f>
        <v>CREMA</v>
      </c>
      <c r="D134" s="23" t="n">
        <f aca="false">SUM(Datos_Semanales!F134:K134)</f>
        <v>0</v>
      </c>
      <c r="E134" s="23" t="n">
        <f aca="false">AVERAGE(Datos_Semanales!F134:K134)</f>
        <v>0</v>
      </c>
      <c r="F134" s="23" t="n">
        <f aca="false">STDEV(Datos_Semanales!F134:K134)</f>
        <v>0</v>
      </c>
      <c r="G134" s="27" t="str">
        <f aca="false">IF(E134&gt;0,F134/E134,"")</f>
        <v/>
      </c>
      <c r="H134" s="24" t="n">
        <f aca="false">IF(SUM($D$5:$D$137)&gt;0,D134/SUM($D$5:$D$137),0)</f>
        <v>0</v>
      </c>
      <c r="I134" s="24" t="n">
        <f aca="false">SUMIF($D$5:$D$137,"&gt;="&amp;D134)/SUM($D$5:$D$137)</f>
        <v>1</v>
      </c>
      <c r="J134" s="3" t="str">
        <f aca="false">IF(D134&lt;=0,"C",IF(I134&lt;=Parametros!$B$4,"A",IF(I134&lt;=Parametros!$B$5,"B","C")))</f>
        <v>C</v>
      </c>
      <c r="K134" s="3" t="str">
        <f aca="false">IF(E134&lt;=0,"Z",IF(G134&lt;=Parametros!$B$6,"X",IF(G134&lt;=Parametros!$B$7,"Y","Z")))</f>
        <v>Z</v>
      </c>
      <c r="L134" s="3" t="str">
        <f aca="false">J134&amp;K134</f>
        <v>CZ</v>
      </c>
      <c r="M134" s="3" t="str">
        <f aca="false">INDEX(Parametros!$B$23:$B$31,MATCH(L134,Parametros!$A$23:$A$31,0))</f>
        <v>Contra pedido o stock mínimo. Candidato a racionalizar/descontinuar.</v>
      </c>
      <c r="N134" s="3" t="str">
        <f aca="false">INDEX(Parametros!$C$23:$C$31,MATCH(L134,Parametros!$A$23:$A$31,0))</f>
        <v>Mensual</v>
      </c>
      <c r="O134" s="23" t="n">
        <f aca="false">SUM(Datos_Semanales!M134:R134)</f>
        <v>0</v>
      </c>
      <c r="P134" s="24" t="str">
        <f aca="false">IF(D134&gt;0,SUMPRODUCT(ABS(Datos_Semanales!F134:K134-Datos_Semanales!M134:R134))/D134,"")</f>
        <v/>
      </c>
      <c r="Q134" s="24" t="str">
        <f aca="false">IF(D134&gt;0,O134/D134-1,"")</f>
        <v/>
      </c>
      <c r="R134" s="23" t="n">
        <f aca="false">SQRT(SUMXMY2(Datos_Semanales!F134:K134,Datos_Semanales!M134:R134)/COUNT(Datos_Semanales!F134:K134))</f>
        <v>0</v>
      </c>
    </row>
    <row r="135" customFormat="false" ht="15" hidden="false" customHeight="false" outlineLevel="0" collapsed="false">
      <c r="A135" s="18" t="n">
        <f aca="false">Datos_Semanales!A135</f>
        <v>30001775</v>
      </c>
      <c r="B135" s="18" t="str">
        <f aca="false">Datos_Semanales!B135</f>
        <v>JUGO 100% FRUTA LV WATTS NRJA 12X1LT</v>
      </c>
      <c r="C135" s="18" t="str">
        <f aca="false">Datos_Semanales!C135</f>
        <v>JUGOS Y NECTARES</v>
      </c>
      <c r="D135" s="23" t="n">
        <f aca="false">SUM(Datos_Semanales!F135:K135)</f>
        <v>0</v>
      </c>
      <c r="E135" s="23" t="n">
        <f aca="false">AVERAGE(Datos_Semanales!F135:K135)</f>
        <v>0</v>
      </c>
      <c r="F135" s="23" t="n">
        <f aca="false">STDEV(Datos_Semanales!F135:K135)</f>
        <v>0</v>
      </c>
      <c r="G135" s="27" t="str">
        <f aca="false">IF(E135&gt;0,F135/E135,"")</f>
        <v/>
      </c>
      <c r="H135" s="24" t="n">
        <f aca="false">IF(SUM($D$5:$D$137)&gt;0,D135/SUM($D$5:$D$137),0)</f>
        <v>0</v>
      </c>
      <c r="I135" s="24" t="n">
        <f aca="false">SUMIF($D$5:$D$137,"&gt;="&amp;D135)/SUM($D$5:$D$137)</f>
        <v>1</v>
      </c>
      <c r="J135" s="3" t="str">
        <f aca="false">IF(D135&lt;=0,"C",IF(I135&lt;=Parametros!$B$4,"A",IF(I135&lt;=Parametros!$B$5,"B","C")))</f>
        <v>C</v>
      </c>
      <c r="K135" s="3" t="str">
        <f aca="false">IF(E135&lt;=0,"Z",IF(G135&lt;=Parametros!$B$6,"X",IF(G135&lt;=Parametros!$B$7,"Y","Z")))</f>
        <v>Z</v>
      </c>
      <c r="L135" s="3" t="str">
        <f aca="false">J135&amp;K135</f>
        <v>CZ</v>
      </c>
      <c r="M135" s="3" t="str">
        <f aca="false">INDEX(Parametros!$B$23:$B$31,MATCH(L135,Parametros!$A$23:$A$31,0))</f>
        <v>Contra pedido o stock mínimo. Candidato a racionalizar/descontinuar.</v>
      </c>
      <c r="N135" s="3" t="str">
        <f aca="false">INDEX(Parametros!$C$23:$C$31,MATCH(L135,Parametros!$A$23:$A$31,0))</f>
        <v>Mensual</v>
      </c>
      <c r="O135" s="23" t="n">
        <f aca="false">SUM(Datos_Semanales!M135:R135)</f>
        <v>0</v>
      </c>
      <c r="P135" s="24" t="str">
        <f aca="false">IF(D135&gt;0,SUMPRODUCT(ABS(Datos_Semanales!F135:K135-Datos_Semanales!M135:R135))/D135,"")</f>
        <v/>
      </c>
      <c r="Q135" s="24" t="str">
        <f aca="false">IF(D135&gt;0,O135/D135-1,"")</f>
        <v/>
      </c>
      <c r="R135" s="23" t="n">
        <f aca="false">SQRT(SUMXMY2(Datos_Semanales!F135:K135,Datos_Semanales!M135:R135)/COUNT(Datos_Semanales!F135:K135))</f>
        <v>0</v>
      </c>
    </row>
    <row r="136" customFormat="false" ht="15" hidden="false" customHeight="false" outlineLevel="0" collapsed="false">
      <c r="A136" s="18" t="n">
        <f aca="false">Datos_Semanales!A136</f>
        <v>30001763</v>
      </c>
      <c r="B136" s="18" t="str">
        <f aca="false">Datos_Semanales!B136</f>
        <v>NECTAR WATTS MANZANA SIXPACK 5X6X115ML</v>
      </c>
      <c r="C136" s="18" t="str">
        <f aca="false">Datos_Semanales!C136</f>
        <v>JUGOS Y NECTARES</v>
      </c>
      <c r="D136" s="23" t="n">
        <f aca="false">SUM(Datos_Semanales!F136:K136)</f>
        <v>0</v>
      </c>
      <c r="E136" s="23" t="n">
        <f aca="false">AVERAGE(Datos_Semanales!F136:K136)</f>
        <v>0</v>
      </c>
      <c r="F136" s="23" t="n">
        <f aca="false">STDEV(Datos_Semanales!F136:K136)</f>
        <v>0</v>
      </c>
      <c r="G136" s="27" t="str">
        <f aca="false">IF(E136&gt;0,F136/E136,"")</f>
        <v/>
      </c>
      <c r="H136" s="24" t="n">
        <f aca="false">IF(SUM($D$5:$D$137)&gt;0,D136/SUM($D$5:$D$137),0)</f>
        <v>0</v>
      </c>
      <c r="I136" s="24" t="n">
        <f aca="false">SUMIF($D$5:$D$137,"&gt;="&amp;D136)/SUM($D$5:$D$137)</f>
        <v>1</v>
      </c>
      <c r="J136" s="3" t="str">
        <f aca="false">IF(D136&lt;=0,"C",IF(I136&lt;=Parametros!$B$4,"A",IF(I136&lt;=Parametros!$B$5,"B","C")))</f>
        <v>C</v>
      </c>
      <c r="K136" s="3" t="str">
        <f aca="false">IF(E136&lt;=0,"Z",IF(G136&lt;=Parametros!$B$6,"X",IF(G136&lt;=Parametros!$B$7,"Y","Z")))</f>
        <v>Z</v>
      </c>
      <c r="L136" s="3" t="str">
        <f aca="false">J136&amp;K136</f>
        <v>CZ</v>
      </c>
      <c r="M136" s="3" t="str">
        <f aca="false">INDEX(Parametros!$B$23:$B$31,MATCH(L136,Parametros!$A$23:$A$31,0))</f>
        <v>Contra pedido o stock mínimo. Candidato a racionalizar/descontinuar.</v>
      </c>
      <c r="N136" s="3" t="str">
        <f aca="false">INDEX(Parametros!$C$23:$C$31,MATCH(L136,Parametros!$A$23:$A$31,0))</f>
        <v>Mensual</v>
      </c>
      <c r="O136" s="23" t="n">
        <f aca="false">SUM(Datos_Semanales!M136:R136)</f>
        <v>0</v>
      </c>
      <c r="P136" s="24" t="str">
        <f aca="false">IF(D136&gt;0,SUMPRODUCT(ABS(Datos_Semanales!F136:K136-Datos_Semanales!M136:R136))/D136,"")</f>
        <v/>
      </c>
      <c r="Q136" s="24" t="str">
        <f aca="false">IF(D136&gt;0,O136/D136-1,"")</f>
        <v/>
      </c>
      <c r="R136" s="23" t="n">
        <f aca="false">SQRT(SUMXMY2(Datos_Semanales!F136:K136,Datos_Semanales!M136:R136)/COUNT(Datos_Semanales!F136:K136))</f>
        <v>0</v>
      </c>
    </row>
    <row r="137" customFormat="false" ht="15" hidden="false" customHeight="false" outlineLevel="0" collapsed="false">
      <c r="A137" s="18" t="n">
        <f aca="false">Datos_Semanales!A137</f>
        <v>30002175</v>
      </c>
      <c r="B137" s="18" t="str">
        <f aca="false">Datos_Semanales!B137</f>
        <v>NECTAR WATTS DAMASCO SIXPACK 5X6X115ML</v>
      </c>
      <c r="C137" s="18" t="str">
        <f aca="false">Datos_Semanales!C137</f>
        <v>JUGOS Y NECTARES</v>
      </c>
      <c r="D137" s="23" t="n">
        <f aca="false">SUM(Datos_Semanales!F137:K137)</f>
        <v>0</v>
      </c>
      <c r="E137" s="23" t="n">
        <f aca="false">AVERAGE(Datos_Semanales!F137:K137)</f>
        <v>0</v>
      </c>
      <c r="F137" s="23" t="n">
        <f aca="false">STDEV(Datos_Semanales!F137:K137)</f>
        <v>0</v>
      </c>
      <c r="G137" s="27" t="str">
        <f aca="false">IF(E137&gt;0,F137/E137,"")</f>
        <v/>
      </c>
      <c r="H137" s="24" t="n">
        <f aca="false">IF(SUM($D$5:$D$137)&gt;0,D137/SUM($D$5:$D$137),0)</f>
        <v>0</v>
      </c>
      <c r="I137" s="24" t="n">
        <f aca="false">SUMIF($D$5:$D$137,"&gt;="&amp;D137)/SUM($D$5:$D$137)</f>
        <v>1</v>
      </c>
      <c r="J137" s="3" t="str">
        <f aca="false">IF(D137&lt;=0,"C",IF(I137&lt;=Parametros!$B$4,"A",IF(I137&lt;=Parametros!$B$5,"B","C")))</f>
        <v>C</v>
      </c>
      <c r="K137" s="3" t="str">
        <f aca="false">IF(E137&lt;=0,"Z",IF(G137&lt;=Parametros!$B$6,"X",IF(G137&lt;=Parametros!$B$7,"Y","Z")))</f>
        <v>Z</v>
      </c>
      <c r="L137" s="3" t="str">
        <f aca="false">J137&amp;K137</f>
        <v>CZ</v>
      </c>
      <c r="M137" s="3" t="str">
        <f aca="false">INDEX(Parametros!$B$23:$B$31,MATCH(L137,Parametros!$A$23:$A$31,0))</f>
        <v>Contra pedido o stock mínimo. Candidato a racionalizar/descontinuar.</v>
      </c>
      <c r="N137" s="3" t="str">
        <f aca="false">INDEX(Parametros!$C$23:$C$31,MATCH(L137,Parametros!$A$23:$A$31,0))</f>
        <v>Mensual</v>
      </c>
      <c r="O137" s="23" t="n">
        <f aca="false">SUM(Datos_Semanales!M137:R137)</f>
        <v>0</v>
      </c>
      <c r="P137" s="24" t="str">
        <f aca="false">IF(D137&gt;0,SUMPRODUCT(ABS(Datos_Semanales!F137:K137-Datos_Semanales!M137:R137))/D137,"")</f>
        <v/>
      </c>
      <c r="Q137" s="24" t="str">
        <f aca="false">IF(D137&gt;0,O137/D137-1,"")</f>
        <v/>
      </c>
      <c r="R137" s="23" t="n">
        <f aca="false">SQRT(SUMXMY2(Datos_Semanales!F137:K137,Datos_Semanales!M137:R137)/COUNT(Datos_Semanales!F137:K137))</f>
        <v>0</v>
      </c>
    </row>
  </sheetData>
  <autoFilter ref="A4:R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19"/>
  </cols>
  <sheetData>
    <row r="1" customFormat="false" ht="17.35" hidden="false" customHeight="false" outlineLevel="0" collapsed="false">
      <c r="A1" s="1" t="s">
        <v>346</v>
      </c>
    </row>
    <row r="2" customFormat="false" ht="15" hidden="false" customHeight="false" outlineLevel="0" collapsed="false">
      <c r="A2" s="3" t="s">
        <v>347</v>
      </c>
    </row>
    <row r="4" customFormat="false" ht="42" hidden="false" customHeight="true" outlineLevel="0" collapsed="false">
      <c r="A4" s="14" t="s">
        <v>133</v>
      </c>
      <c r="B4" s="14" t="s">
        <v>134</v>
      </c>
      <c r="C4" s="14" t="s">
        <v>121</v>
      </c>
      <c r="D4" s="14" t="s">
        <v>348</v>
      </c>
      <c r="E4" s="14" t="s">
        <v>349</v>
      </c>
      <c r="F4" s="14" t="s">
        <v>94</v>
      </c>
      <c r="G4" s="14" t="s">
        <v>36</v>
      </c>
      <c r="H4" s="14" t="s">
        <v>340</v>
      </c>
      <c r="I4" s="14" t="s">
        <v>350</v>
      </c>
      <c r="J4" s="14" t="s">
        <v>351</v>
      </c>
      <c r="K4" s="14" t="s">
        <v>122</v>
      </c>
      <c r="L4" s="14" t="s">
        <v>352</v>
      </c>
      <c r="M4" s="14" t="s">
        <v>353</v>
      </c>
      <c r="N4" s="14" t="s">
        <v>354</v>
      </c>
      <c r="O4" s="14" t="s">
        <v>355</v>
      </c>
      <c r="P4" s="14" t="s">
        <v>356</v>
      </c>
      <c r="Q4" s="14" t="s">
        <v>357</v>
      </c>
      <c r="R4" s="14" t="s">
        <v>138</v>
      </c>
      <c r="S4" s="14" t="s">
        <v>358</v>
      </c>
      <c r="T4" s="14" t="s">
        <v>137</v>
      </c>
      <c r="U4" s="14" t="s">
        <v>140</v>
      </c>
      <c r="V4" s="14" t="s">
        <v>359</v>
      </c>
      <c r="W4" s="14" t="s">
        <v>136</v>
      </c>
      <c r="X4" s="14" t="s">
        <v>360</v>
      </c>
    </row>
    <row r="5" customFormat="false" ht="15" hidden="false" customHeight="false" outlineLevel="0" collapsed="false">
      <c r="A5" s="3" t="n">
        <v>30000522</v>
      </c>
      <c r="B5" s="3" t="s">
        <v>361</v>
      </c>
      <c r="C5" s="3" t="s">
        <v>129</v>
      </c>
      <c r="D5" s="3" t="s">
        <v>362</v>
      </c>
      <c r="E5" s="3" t="s">
        <v>363</v>
      </c>
      <c r="F5" s="3" t="str">
        <f aca="false">IFERROR(INDEX(ABC_XYZ!$L$5:$L$137,MATCH(A5,ABC_XYZ!$A$5:$A$137,0)),"SIN HIST")</f>
        <v>AX</v>
      </c>
      <c r="G5" s="24" t="n">
        <f aca="false">IF(LEFT(F5,1)="A",Parametros!$B$8,IF(LEFT(F5,1)="B",Parametros!$B$9,IF(LEFT(F5,1)="C",Parametros!$B$10,Parametros!$B$11)))</f>
        <v>0.98</v>
      </c>
      <c r="H5" s="27" t="n">
        <f aca="false">NORMSINV(G5)</f>
        <v>2.05374891063182</v>
      </c>
      <c r="I5" s="23" t="n">
        <v>327113.9</v>
      </c>
      <c r="J5" s="23" t="n">
        <f aca="false">IFERROR(INDEX(ABC_XYZ!$R$5:$R$137,MATCH(A5,ABC_XYZ!$A$5:$A$137,0)),I5*Parametros!$B$13)</f>
        <v>99257.3742298119</v>
      </c>
      <c r="K5" s="27" t="n">
        <f aca="false">IFERROR(VLOOKUP(C5,Parametros!$A$36:$B$41,2,FALSE()),Parametros!$B$12)</f>
        <v>1</v>
      </c>
      <c r="L5" s="23" t="n">
        <f aca="false">H5*J5*SQRT(K5)</f>
        <v>203849.724196651</v>
      </c>
      <c r="M5" s="29" t="n">
        <v>191</v>
      </c>
      <c r="N5" s="24" t="n">
        <v>0.18848167539267</v>
      </c>
      <c r="O5" s="3" t="s">
        <v>364</v>
      </c>
      <c r="P5" s="30" t="n">
        <f aca="false">IF(AND(ISNUMBER(M5),ISNUMBER(N5)),M5*N5/7,"")</f>
        <v>5.14285714285714</v>
      </c>
      <c r="Q5" s="23" t="n">
        <f aca="false">IF(ISNUMBER(P5),I5*P5,"")</f>
        <v>1682300.05714286</v>
      </c>
      <c r="R5" s="23" t="n">
        <f aca="false">IF(ISNUMBER(Q5),MAX(0,MIN(L5,Q5-I5*K5)),L5)</f>
        <v>203849.724196651</v>
      </c>
      <c r="S5" s="23" t="n">
        <f aca="false">R5+I5*K5</f>
        <v>530963.624196651</v>
      </c>
      <c r="T5" s="23" t="n">
        <v>276372</v>
      </c>
      <c r="U5" s="23" t="n">
        <v>268920</v>
      </c>
      <c r="V5" s="23" t="n">
        <f aca="false">T5+U5</f>
        <v>545292</v>
      </c>
      <c r="W5" s="30" t="n">
        <f aca="false">IF(I5&gt;0,V5/I5,"")</f>
        <v>1.66697899416686</v>
      </c>
      <c r="X5" s="3" t="str">
        <f aca="false">IF(I5&lt;=0,"SIN FCST",IF(V5&lt;R5,"BAJO SS",IF(T5&lt;R5,"BAJO SS (XLIB CUBRE)",IF(V5&lt;S5,"BAJO P.REORDEN",IF(AND(ISNUMBER(Q5),V5&gt;Q5),"SOBRE MAX VENDIBLE","OK")))))</f>
        <v>OK</v>
      </c>
    </row>
    <row r="6" customFormat="false" ht="15" hidden="false" customHeight="false" outlineLevel="0" collapsed="false">
      <c r="A6" s="3" t="n">
        <v>30000325</v>
      </c>
      <c r="B6" s="3" t="s">
        <v>365</v>
      </c>
      <c r="C6" s="3" t="s">
        <v>129</v>
      </c>
      <c r="D6" s="3" t="s">
        <v>362</v>
      </c>
      <c r="E6" s="3" t="s">
        <v>363</v>
      </c>
      <c r="F6" s="3" t="str">
        <f aca="false">IFERROR(INDEX(ABC_XYZ!$L$5:$L$137,MATCH(A6,ABC_XYZ!$A$5:$A$137,0)),"SIN HIST")</f>
        <v>AX</v>
      </c>
      <c r="G6" s="24" t="n">
        <f aca="false">IF(LEFT(F6,1)="A",Parametros!$B$8,IF(LEFT(F6,1)="B",Parametros!$B$9,IF(LEFT(F6,1)="C",Parametros!$B$10,Parametros!$B$11)))</f>
        <v>0.98</v>
      </c>
      <c r="H6" s="27" t="n">
        <f aca="false">NORMSINV(G6)</f>
        <v>2.05374891063182</v>
      </c>
      <c r="I6" s="23" t="n">
        <v>181789.7</v>
      </c>
      <c r="J6" s="23" t="n">
        <f aca="false">IFERROR(INDEX(ABC_XYZ!$R$5:$R$137,MATCH(A6,ABC_XYZ!$A$5:$A$137,0)),I6*Parametros!$B$13)</f>
        <v>26676.9874922305</v>
      </c>
      <c r="K6" s="27" t="n">
        <f aca="false">IFERROR(VLOOKUP(C6,Parametros!$A$36:$B$41,2,FALSE()),Parametros!$B$12)</f>
        <v>1</v>
      </c>
      <c r="L6" s="23" t="n">
        <f aca="false">H6*J6*SQRT(K6)</f>
        <v>54787.8340011071</v>
      </c>
      <c r="M6" s="29" t="n">
        <v>184</v>
      </c>
      <c r="N6" s="24" t="n">
        <v>0.255434782608696</v>
      </c>
      <c r="O6" s="3" t="s">
        <v>364</v>
      </c>
      <c r="P6" s="30" t="n">
        <f aca="false">IF(AND(ISNUMBER(M6),ISNUMBER(N6)),M6*N6/7,"")</f>
        <v>6.71428571428572</v>
      </c>
      <c r="Q6" s="23" t="n">
        <f aca="false">IF(ISNUMBER(P6),I6*P6,"")</f>
        <v>1220587.98571429</v>
      </c>
      <c r="R6" s="23" t="n">
        <f aca="false">IF(ISNUMBER(Q6),MAX(0,MIN(L6,Q6-I6*K6)),L6)</f>
        <v>54787.8340011071</v>
      </c>
      <c r="S6" s="23" t="n">
        <f aca="false">R6+I6*K6</f>
        <v>236577.534001107</v>
      </c>
      <c r="T6" s="23" t="n">
        <v>582228</v>
      </c>
      <c r="U6" s="23" t="n">
        <v>243264</v>
      </c>
      <c r="V6" s="23" t="n">
        <f aca="false">T6+U6</f>
        <v>825492</v>
      </c>
      <c r="W6" s="30" t="n">
        <f aca="false">IF(I6&gt;0,V6/I6,"")</f>
        <v>4.54091733470048</v>
      </c>
      <c r="X6" s="3" t="str">
        <f aca="false">IF(I6&lt;=0,"SIN FCST",IF(V6&lt;R6,"BAJO SS",IF(T6&lt;R6,"BAJO SS (XLIB CUBRE)",IF(V6&lt;S6,"BAJO P.REORDEN",IF(AND(ISNUMBER(Q6),V6&gt;Q6),"SOBRE MAX VENDIBLE","OK")))))</f>
        <v>OK</v>
      </c>
    </row>
    <row r="7" customFormat="false" ht="15" hidden="false" customHeight="false" outlineLevel="0" collapsed="false">
      <c r="A7" s="3" t="n">
        <v>30000326</v>
      </c>
      <c r="B7" s="3" t="s">
        <v>366</v>
      </c>
      <c r="C7" s="3" t="s">
        <v>129</v>
      </c>
      <c r="D7" s="3" t="s">
        <v>362</v>
      </c>
      <c r="E7" s="3" t="s">
        <v>363</v>
      </c>
      <c r="F7" s="3" t="str">
        <f aca="false">IFERROR(INDEX(ABC_XYZ!$L$5:$L$137,MATCH(A7,ABC_XYZ!$A$5:$A$137,0)),"SIN HIST")</f>
        <v>AX</v>
      </c>
      <c r="G7" s="24" t="n">
        <f aca="false">IF(LEFT(F7,1)="A",Parametros!$B$8,IF(LEFT(F7,1)="B",Parametros!$B$9,IF(LEFT(F7,1)="C",Parametros!$B$10,Parametros!$B$11)))</f>
        <v>0.98</v>
      </c>
      <c r="H7" s="27" t="n">
        <f aca="false">NORMSINV(G7)</f>
        <v>2.05374891063182</v>
      </c>
      <c r="I7" s="23" t="n">
        <v>173792.5</v>
      </c>
      <c r="J7" s="23" t="n">
        <f aca="false">IFERROR(INDEX(ABC_XYZ!$R$5:$R$137,MATCH(A7,ABC_XYZ!$A$5:$A$137,0)),I7*Parametros!$B$13)</f>
        <v>18291.1587730342</v>
      </c>
      <c r="K7" s="27" t="n">
        <f aca="false">IFERROR(VLOOKUP(C7,Parametros!$A$36:$B$41,2,FALSE()),Parametros!$B$12)</f>
        <v>1</v>
      </c>
      <c r="L7" s="23" t="n">
        <f aca="false">H7*J7*SQRT(K7)</f>
        <v>37565.4474043127</v>
      </c>
      <c r="M7" s="29" t="n">
        <v>184</v>
      </c>
      <c r="N7" s="24" t="n">
        <v>0.239130434782609</v>
      </c>
      <c r="O7" s="3" t="s">
        <v>364</v>
      </c>
      <c r="P7" s="30" t="n">
        <f aca="false">IF(AND(ISNUMBER(M7),ISNUMBER(N7)),M7*N7/7,"")</f>
        <v>6.28571428571428</v>
      </c>
      <c r="Q7" s="23" t="n">
        <f aca="false">IF(ISNUMBER(P7),I7*P7,"")</f>
        <v>1092410</v>
      </c>
      <c r="R7" s="23" t="n">
        <f aca="false">IF(ISNUMBER(Q7),MAX(0,MIN(L7,Q7-I7*K7)),L7)</f>
        <v>37565.4474043127</v>
      </c>
      <c r="S7" s="23" t="n">
        <f aca="false">R7+I7*K7</f>
        <v>211357.947404313</v>
      </c>
      <c r="T7" s="23" t="n">
        <v>236280</v>
      </c>
      <c r="U7" s="23" t="n">
        <v>155556</v>
      </c>
      <c r="V7" s="23" t="n">
        <f aca="false">T7+U7</f>
        <v>391836</v>
      </c>
      <c r="W7" s="30" t="n">
        <f aca="false">IF(I7&gt;0,V7/I7,"")</f>
        <v>2.25461973330265</v>
      </c>
      <c r="X7" s="3" t="str">
        <f aca="false">IF(I7&lt;=0,"SIN FCST",IF(V7&lt;R7,"BAJO SS",IF(T7&lt;R7,"BAJO SS (XLIB CUBRE)",IF(V7&lt;S7,"BAJO P.REORDEN",IF(AND(ISNUMBER(Q7),V7&gt;Q7),"SOBRE MAX VENDIBLE","OK")))))</f>
        <v>OK</v>
      </c>
    </row>
    <row r="8" customFormat="false" ht="15" hidden="false" customHeight="false" outlineLevel="0" collapsed="false">
      <c r="A8" s="3" t="n">
        <v>30000353</v>
      </c>
      <c r="B8" s="3" t="s">
        <v>367</v>
      </c>
      <c r="C8" s="3" t="s">
        <v>129</v>
      </c>
      <c r="D8" s="3" t="s">
        <v>362</v>
      </c>
      <c r="E8" s="3" t="s">
        <v>363</v>
      </c>
      <c r="F8" s="3" t="str">
        <f aca="false">IFERROR(INDEX(ABC_XYZ!$L$5:$L$137,MATCH(A8,ABC_XYZ!$A$5:$A$137,0)),"SIN HIST")</f>
        <v>AX</v>
      </c>
      <c r="G8" s="24" t="n">
        <f aca="false">IF(LEFT(F8,1)="A",Parametros!$B$8,IF(LEFT(F8,1)="B",Parametros!$B$9,IF(LEFT(F8,1)="C",Parametros!$B$10,Parametros!$B$11)))</f>
        <v>0.98</v>
      </c>
      <c r="H8" s="27" t="n">
        <f aca="false">NORMSINV(G8)</f>
        <v>2.05374891063182</v>
      </c>
      <c r="I8" s="23" t="n">
        <v>131949</v>
      </c>
      <c r="J8" s="23" t="n">
        <f aca="false">IFERROR(INDEX(ABC_XYZ!$R$5:$R$137,MATCH(A8,ABC_XYZ!$A$5:$A$137,0)),I8*Parametros!$B$13)</f>
        <v>24910.9459954102</v>
      </c>
      <c r="K8" s="27" t="n">
        <f aca="false">IFERROR(VLOOKUP(C8,Parametros!$A$36:$B$41,2,FALSE()),Parametros!$B$12)</f>
        <v>1</v>
      </c>
      <c r="L8" s="23" t="n">
        <f aca="false">H8*J8*SQRT(K8)</f>
        <v>51160.8282008819</v>
      </c>
      <c r="M8" s="29" t="n">
        <v>184</v>
      </c>
      <c r="N8" s="24" t="n">
        <v>0.239130434782609</v>
      </c>
      <c r="O8" s="3" t="s">
        <v>364</v>
      </c>
      <c r="P8" s="30" t="n">
        <f aca="false">IF(AND(ISNUMBER(M8),ISNUMBER(N8)),M8*N8/7,"")</f>
        <v>6.28571428571428</v>
      </c>
      <c r="Q8" s="23" t="n">
        <f aca="false">IF(ISNUMBER(P8),I8*P8,"")</f>
        <v>829393.714285714</v>
      </c>
      <c r="R8" s="23" t="n">
        <f aca="false">IF(ISNUMBER(Q8),MAX(0,MIN(L8,Q8-I8*K8)),L8)</f>
        <v>51160.8282008819</v>
      </c>
      <c r="S8" s="23" t="n">
        <f aca="false">R8+I8*K8</f>
        <v>183109.828200882</v>
      </c>
      <c r="T8" s="23" t="n">
        <v>218316</v>
      </c>
      <c r="U8" s="23" t="n">
        <v>26304</v>
      </c>
      <c r="V8" s="23" t="n">
        <f aca="false">T8+U8</f>
        <v>244620</v>
      </c>
      <c r="W8" s="30" t="n">
        <f aca="false">IF(I8&gt;0,V8/I8,"")</f>
        <v>1.85389809699202</v>
      </c>
      <c r="X8" s="3" t="str">
        <f aca="false">IF(I8&lt;=0,"SIN FCST",IF(V8&lt;R8,"BAJO SS",IF(T8&lt;R8,"BAJO SS (XLIB CUBRE)",IF(V8&lt;S8,"BAJO P.REORDEN",IF(AND(ISNUMBER(Q8),V8&gt;Q8),"SOBRE MAX VENDIBLE","OK")))))</f>
        <v>OK</v>
      </c>
    </row>
    <row r="9" customFormat="false" ht="15" hidden="false" customHeight="false" outlineLevel="0" collapsed="false">
      <c r="A9" s="3" t="n">
        <v>30000523</v>
      </c>
      <c r="B9" s="3" t="s">
        <v>368</v>
      </c>
      <c r="C9" s="3" t="s">
        <v>129</v>
      </c>
      <c r="D9" s="3" t="s">
        <v>362</v>
      </c>
      <c r="E9" s="3" t="s">
        <v>363</v>
      </c>
      <c r="F9" s="3" t="str">
        <f aca="false">IFERROR(INDEX(ABC_XYZ!$L$5:$L$137,MATCH(A9,ABC_XYZ!$A$5:$A$137,0)),"SIN HIST")</f>
        <v>AX</v>
      </c>
      <c r="G9" s="24" t="n">
        <f aca="false">IF(LEFT(F9,1)="A",Parametros!$B$8,IF(LEFT(F9,1)="B",Parametros!$B$9,IF(LEFT(F9,1)="C",Parametros!$B$10,Parametros!$B$11)))</f>
        <v>0.98</v>
      </c>
      <c r="H9" s="27" t="n">
        <f aca="false">NORMSINV(G9)</f>
        <v>2.05374891063182</v>
      </c>
      <c r="I9" s="23" t="n">
        <v>103131.1</v>
      </c>
      <c r="J9" s="23" t="n">
        <f aca="false">IFERROR(INDEX(ABC_XYZ!$R$5:$R$137,MATCH(A9,ABC_XYZ!$A$5:$A$137,0)),I9*Parametros!$B$13)</f>
        <v>66361.7670214695</v>
      </c>
      <c r="K9" s="27" t="n">
        <f aca="false">IFERROR(VLOOKUP(C9,Parametros!$A$36:$B$41,2,FALSE()),Parametros!$B$12)</f>
        <v>1</v>
      </c>
      <c r="L9" s="23" t="n">
        <f aca="false">H9*J9*SQRT(K9)</f>
        <v>136290.406727946</v>
      </c>
      <c r="M9" s="29" t="n">
        <v>191</v>
      </c>
      <c r="N9" s="24" t="n">
        <v>0.18848167539267</v>
      </c>
      <c r="O9" s="3" t="s">
        <v>364</v>
      </c>
      <c r="P9" s="30" t="n">
        <f aca="false">IF(AND(ISNUMBER(M9),ISNUMBER(N9)),M9*N9/7,"")</f>
        <v>5.14285714285714</v>
      </c>
      <c r="Q9" s="23" t="n">
        <f aca="false">IF(ISNUMBER(P9),I9*P9,"")</f>
        <v>530388.514285714</v>
      </c>
      <c r="R9" s="23" t="n">
        <f aca="false">IF(ISNUMBER(Q9),MAX(0,MIN(L9,Q9-I9*K9)),L9)</f>
        <v>136290.406727946</v>
      </c>
      <c r="S9" s="23" t="n">
        <f aca="false">R9+I9*K9</f>
        <v>239421.506727946</v>
      </c>
      <c r="T9" s="23" t="n">
        <v>757980</v>
      </c>
      <c r="U9" s="23" t="n">
        <v>0</v>
      </c>
      <c r="V9" s="23" t="n">
        <f aca="false">T9+U9</f>
        <v>757980</v>
      </c>
      <c r="W9" s="30" t="n">
        <f aca="false">IF(I9&gt;0,V9/I9,"")</f>
        <v>7.34967434653562</v>
      </c>
      <c r="X9" s="3" t="str">
        <f aca="false">IF(I9&lt;=0,"SIN FCST",IF(V9&lt;R9,"BAJO SS",IF(T9&lt;R9,"BAJO SS (XLIB CUBRE)",IF(V9&lt;S9,"BAJO P.REORDEN",IF(AND(ISNUMBER(Q9),V9&gt;Q9),"SOBRE MAX VENDIBLE","OK")))))</f>
        <v>SOBRE MAX VENDIBLE</v>
      </c>
    </row>
    <row r="10" customFormat="false" ht="15" hidden="false" customHeight="false" outlineLevel="0" collapsed="false">
      <c r="A10" s="3" t="n">
        <v>30000255</v>
      </c>
      <c r="B10" s="3" t="s">
        <v>369</v>
      </c>
      <c r="C10" s="3" t="s">
        <v>126</v>
      </c>
      <c r="D10" s="3" t="s">
        <v>370</v>
      </c>
      <c r="E10" s="3" t="s">
        <v>363</v>
      </c>
      <c r="F10" s="3" t="str">
        <f aca="false">IFERROR(INDEX(ABC_XYZ!$L$5:$L$137,MATCH(A10,ABC_XYZ!$A$5:$A$137,0)),"SIN HIST")</f>
        <v>AY</v>
      </c>
      <c r="G10" s="24" t="n">
        <f aca="false">IF(LEFT(F10,1)="A",Parametros!$B$8,IF(LEFT(F10,1)="B",Parametros!$B$9,IF(LEFT(F10,1)="C",Parametros!$B$10,Parametros!$B$11)))</f>
        <v>0.98</v>
      </c>
      <c r="H10" s="27" t="n">
        <f aca="false">NORMSINV(G10)</f>
        <v>2.05374891063182</v>
      </c>
      <c r="I10" s="23" t="n">
        <v>84127.7</v>
      </c>
      <c r="J10" s="23" t="n">
        <f aca="false">IFERROR(INDEX(ABC_XYZ!$R$5:$R$137,MATCH(A10,ABC_XYZ!$A$5:$A$137,0)),I10*Parametros!$B$13)</f>
        <v>28327.615874693</v>
      </c>
      <c r="K10" s="27" t="n">
        <f aca="false">IFERROR(VLOOKUP(C10,Parametros!$A$36:$B$41,2,FALSE()),Parametros!$B$12)</f>
        <v>1</v>
      </c>
      <c r="L10" s="23" t="n">
        <f aca="false">H10*J10*SQRT(K10)</f>
        <v>58177.8102434475</v>
      </c>
      <c r="M10" s="29" t="n">
        <v>365</v>
      </c>
      <c r="N10" s="24" t="n">
        <v>0.32054794520548</v>
      </c>
      <c r="O10" s="3" t="s">
        <v>371</v>
      </c>
      <c r="P10" s="30" t="n">
        <f aca="false">IF(AND(ISNUMBER(M10),ISNUMBER(N10)),M10*N10/7,"")</f>
        <v>16.7142857142857</v>
      </c>
      <c r="Q10" s="23" t="n">
        <f aca="false">IF(ISNUMBER(P10),I10*P10,"")</f>
        <v>1406134.41428571</v>
      </c>
      <c r="R10" s="23" t="n">
        <f aca="false">IF(ISNUMBER(Q10),MAX(0,MIN(L10,Q10-I10*K10)),L10)</f>
        <v>58177.8102434475</v>
      </c>
      <c r="S10" s="23" t="n">
        <f aca="false">R10+I10*K10</f>
        <v>142305.510243447</v>
      </c>
      <c r="T10" s="23" t="n">
        <v>429072</v>
      </c>
      <c r="U10" s="23" t="n">
        <v>16266</v>
      </c>
      <c r="V10" s="23" t="n">
        <f aca="false">T10+U10</f>
        <v>445338</v>
      </c>
      <c r="W10" s="30" t="n">
        <f aca="false">IF(I10&gt;0,V10/I10,"")</f>
        <v>5.29359533185859</v>
      </c>
      <c r="X10" s="3" t="str">
        <f aca="false">IF(I10&lt;=0,"SIN FCST",IF(V10&lt;R10,"BAJO SS",IF(T10&lt;R10,"BAJO SS (XLIB CUBRE)",IF(V10&lt;S10,"BAJO P.REORDEN",IF(AND(ISNUMBER(Q10),V10&gt;Q10),"SOBRE MAX VENDIBLE","OK")))))</f>
        <v>OK</v>
      </c>
    </row>
    <row r="11" customFormat="false" ht="15" hidden="false" customHeight="false" outlineLevel="0" collapsed="false">
      <c r="A11" s="3" t="n">
        <v>30000524</v>
      </c>
      <c r="B11" s="3" t="s">
        <v>372</v>
      </c>
      <c r="C11" s="3" t="s">
        <v>129</v>
      </c>
      <c r="D11" s="3" t="s">
        <v>362</v>
      </c>
      <c r="E11" s="3" t="s">
        <v>363</v>
      </c>
      <c r="F11" s="3" t="str">
        <f aca="false">IFERROR(INDEX(ABC_XYZ!$L$5:$L$137,MATCH(A11,ABC_XYZ!$A$5:$A$137,0)),"SIN HIST")</f>
        <v>AZ</v>
      </c>
      <c r="G11" s="24" t="n">
        <f aca="false">IF(LEFT(F11,1)="A",Parametros!$B$8,IF(LEFT(F11,1)="B",Parametros!$B$9,IF(LEFT(F11,1)="C",Parametros!$B$10,Parametros!$B$11)))</f>
        <v>0.98</v>
      </c>
      <c r="H11" s="27" t="n">
        <f aca="false">NORMSINV(G11)</f>
        <v>2.05374891063182</v>
      </c>
      <c r="I11" s="23" t="n">
        <v>71275.2</v>
      </c>
      <c r="J11" s="23" t="n">
        <f aca="false">IFERROR(INDEX(ABC_XYZ!$R$5:$R$137,MATCH(A11,ABC_XYZ!$A$5:$A$137,0)),I11*Parametros!$B$13)</f>
        <v>99831.5639361556</v>
      </c>
      <c r="K11" s="27" t="n">
        <f aca="false">IFERROR(VLOOKUP(C11,Parametros!$A$36:$B$41,2,FALSE()),Parametros!$B$12)</f>
        <v>1</v>
      </c>
      <c r="L11" s="23" t="n">
        <f aca="false">H11*J11*SQRT(K11)</f>
        <v>205028.965680551</v>
      </c>
      <c r="M11" s="29" t="n">
        <v>191</v>
      </c>
      <c r="N11" s="24" t="n">
        <v>0.18848167539267</v>
      </c>
      <c r="O11" s="3" t="s">
        <v>364</v>
      </c>
      <c r="P11" s="30" t="n">
        <f aca="false">IF(AND(ISNUMBER(M11),ISNUMBER(N11)),M11*N11/7,"")</f>
        <v>5.14285714285714</v>
      </c>
      <c r="Q11" s="23" t="n">
        <f aca="false">IF(ISNUMBER(P11),I11*P11,"")</f>
        <v>366558.171428571</v>
      </c>
      <c r="R11" s="23" t="n">
        <f aca="false">IF(ISNUMBER(Q11),MAX(0,MIN(L11,Q11-I11*K11)),L11)</f>
        <v>205028.965680551</v>
      </c>
      <c r="S11" s="23" t="n">
        <f aca="false">R11+I11*K11</f>
        <v>276304.165680551</v>
      </c>
      <c r="T11" s="23" t="n">
        <v>208800</v>
      </c>
      <c r="U11" s="23" t="n">
        <v>0</v>
      </c>
      <c r="V11" s="23" t="n">
        <f aca="false">T11+U11</f>
        <v>208800</v>
      </c>
      <c r="W11" s="30" t="n">
        <f aca="false">IF(I11&gt;0,V11/I11,"")</f>
        <v>2.92949020136036</v>
      </c>
      <c r="X11" s="3" t="str">
        <f aca="false">IF(I11&lt;=0,"SIN FCST",IF(V11&lt;R11,"BAJO SS",IF(T11&lt;R11,"BAJO SS (XLIB CUBRE)",IF(V11&lt;S11,"BAJO P.REORDEN",IF(AND(ISNUMBER(Q11),V11&gt;Q11),"SOBRE MAX VENDIBLE","OK")))))</f>
        <v>BAJO P.REORDEN</v>
      </c>
    </row>
    <row r="12" customFormat="false" ht="15" hidden="false" customHeight="false" outlineLevel="0" collapsed="false">
      <c r="A12" s="3" t="n">
        <v>30000256</v>
      </c>
      <c r="B12" s="3" t="s">
        <v>373</v>
      </c>
      <c r="C12" s="3" t="s">
        <v>126</v>
      </c>
      <c r="D12" s="3" t="s">
        <v>370</v>
      </c>
      <c r="E12" s="3" t="s">
        <v>363</v>
      </c>
      <c r="F12" s="3" t="str">
        <f aca="false">IFERROR(INDEX(ABC_XYZ!$L$5:$L$137,MATCH(A12,ABC_XYZ!$A$5:$A$137,0)),"SIN HIST")</f>
        <v>AY</v>
      </c>
      <c r="G12" s="24" t="n">
        <f aca="false">IF(LEFT(F12,1)="A",Parametros!$B$8,IF(LEFT(F12,1)="B",Parametros!$B$9,IF(LEFT(F12,1)="C",Parametros!$B$10,Parametros!$B$11)))</f>
        <v>0.98</v>
      </c>
      <c r="H12" s="27" t="n">
        <f aca="false">NORMSINV(G12)</f>
        <v>2.05374891063182</v>
      </c>
      <c r="I12" s="23" t="n">
        <v>59256.3</v>
      </c>
      <c r="J12" s="23" t="n">
        <f aca="false">IFERROR(INDEX(ABC_XYZ!$R$5:$R$137,MATCH(A12,ABC_XYZ!$A$5:$A$137,0)),I12*Parametros!$B$13)</f>
        <v>26394.7768594339</v>
      </c>
      <c r="K12" s="27" t="n">
        <f aca="false">IFERROR(VLOOKUP(C12,Parametros!$A$36:$B$41,2,FALSE()),Parametros!$B$12)</f>
        <v>1</v>
      </c>
      <c r="L12" s="23" t="n">
        <f aca="false">H12*J12*SQRT(K12)</f>
        <v>54208.2442214323</v>
      </c>
      <c r="M12" s="29" t="n">
        <v>365</v>
      </c>
      <c r="N12" s="24" t="n">
        <v>0.32054794520548</v>
      </c>
      <c r="O12" s="3" t="s">
        <v>371</v>
      </c>
      <c r="P12" s="30" t="n">
        <f aca="false">IF(AND(ISNUMBER(M12),ISNUMBER(N12)),M12*N12/7,"")</f>
        <v>16.7142857142857</v>
      </c>
      <c r="Q12" s="23" t="n">
        <f aca="false">IF(ISNUMBER(P12),I12*P12,"")</f>
        <v>990426.728571429</v>
      </c>
      <c r="R12" s="23" t="n">
        <f aca="false">IF(ISNUMBER(Q12),MAX(0,MIN(L12,Q12-I12*K12)),L12)</f>
        <v>54208.2442214323</v>
      </c>
      <c r="S12" s="23" t="n">
        <f aca="false">R12+I12*K12</f>
        <v>113464.544221432</v>
      </c>
      <c r="T12" s="23" t="n">
        <v>222156</v>
      </c>
      <c r="U12" s="23" t="n">
        <v>0</v>
      </c>
      <c r="V12" s="23" t="n">
        <f aca="false">T12+U12</f>
        <v>222156</v>
      </c>
      <c r="W12" s="30" t="n">
        <f aca="false">IF(I12&gt;0,V12/I12,"")</f>
        <v>3.7490697191691</v>
      </c>
      <c r="X12" s="3" t="str">
        <f aca="false">IF(I12&lt;=0,"SIN FCST",IF(V12&lt;R12,"BAJO SS",IF(T12&lt;R12,"BAJO SS (XLIB CUBRE)",IF(V12&lt;S12,"BAJO P.REORDEN",IF(AND(ISNUMBER(Q12),V12&gt;Q12),"SOBRE MAX VENDIBLE","OK")))))</f>
        <v>OK</v>
      </c>
    </row>
    <row r="13" customFormat="false" ht="15" hidden="false" customHeight="false" outlineLevel="0" collapsed="false">
      <c r="A13" s="3" t="n">
        <v>30000257</v>
      </c>
      <c r="B13" s="3" t="s">
        <v>374</v>
      </c>
      <c r="C13" s="3" t="s">
        <v>126</v>
      </c>
      <c r="D13" s="3" t="s">
        <v>370</v>
      </c>
      <c r="E13" s="3" t="s">
        <v>363</v>
      </c>
      <c r="F13" s="3" t="str">
        <f aca="false">IFERROR(INDEX(ABC_XYZ!$L$5:$L$137,MATCH(A13,ABC_XYZ!$A$5:$A$137,0)),"SIN HIST")</f>
        <v>AX</v>
      </c>
      <c r="G13" s="24" t="n">
        <f aca="false">IF(LEFT(F13,1)="A",Parametros!$B$8,IF(LEFT(F13,1)="B",Parametros!$B$9,IF(LEFT(F13,1)="C",Parametros!$B$10,Parametros!$B$11)))</f>
        <v>0.98</v>
      </c>
      <c r="H13" s="27" t="n">
        <f aca="false">NORMSINV(G13)</f>
        <v>2.05374891063182</v>
      </c>
      <c r="I13" s="23" t="n">
        <v>55913.8</v>
      </c>
      <c r="J13" s="23" t="n">
        <f aca="false">IFERROR(INDEX(ABC_XYZ!$R$5:$R$137,MATCH(A13,ABC_XYZ!$A$5:$A$137,0)),I13*Parametros!$B$13)</f>
        <v>19392.6104419052</v>
      </c>
      <c r="K13" s="27" t="n">
        <f aca="false">IFERROR(VLOOKUP(C13,Parametros!$A$36:$B$41,2,FALSE()),Parametros!$B$12)</f>
        <v>1</v>
      </c>
      <c r="L13" s="23" t="n">
        <f aca="false">H13*J13*SQRT(K13)</f>
        <v>39827.55256937</v>
      </c>
      <c r="M13" s="29" t="n">
        <v>365</v>
      </c>
      <c r="N13" s="24" t="n">
        <v>0.32054794520548</v>
      </c>
      <c r="O13" s="3" t="s">
        <v>371</v>
      </c>
      <c r="P13" s="30" t="n">
        <f aca="false">IF(AND(ISNUMBER(M13),ISNUMBER(N13)),M13*N13/7,"")</f>
        <v>16.7142857142857</v>
      </c>
      <c r="Q13" s="23" t="n">
        <f aca="false">IF(ISNUMBER(P13),I13*P13,"")</f>
        <v>934559.228571429</v>
      </c>
      <c r="R13" s="23" t="n">
        <f aca="false">IF(ISNUMBER(Q13),MAX(0,MIN(L13,Q13-I13*K13)),L13)</f>
        <v>39827.55256937</v>
      </c>
      <c r="S13" s="23" t="n">
        <f aca="false">R13+I13*K13</f>
        <v>95741.35256937</v>
      </c>
      <c r="T13" s="23" t="n">
        <v>325398</v>
      </c>
      <c r="U13" s="23" t="n">
        <v>834</v>
      </c>
      <c r="V13" s="23" t="n">
        <f aca="false">T13+U13</f>
        <v>326232</v>
      </c>
      <c r="W13" s="30" t="n">
        <f aca="false">IF(I13&gt;0,V13/I13,"")</f>
        <v>5.83455247184058</v>
      </c>
      <c r="X13" s="3" t="str">
        <f aca="false">IF(I13&lt;=0,"SIN FCST",IF(V13&lt;R13,"BAJO SS",IF(T13&lt;R13,"BAJO SS (XLIB CUBRE)",IF(V13&lt;S13,"BAJO P.REORDEN",IF(AND(ISNUMBER(Q13),V13&gt;Q13),"SOBRE MAX VENDIBLE","OK")))))</f>
        <v>OK</v>
      </c>
    </row>
    <row r="14" customFormat="false" ht="15" hidden="false" customHeight="false" outlineLevel="0" collapsed="false">
      <c r="A14" s="3" t="n">
        <v>30000258</v>
      </c>
      <c r="B14" s="3" t="s">
        <v>375</v>
      </c>
      <c r="C14" s="3" t="s">
        <v>126</v>
      </c>
      <c r="D14" s="3" t="s">
        <v>370</v>
      </c>
      <c r="E14" s="3" t="s">
        <v>363</v>
      </c>
      <c r="F14" s="3" t="str">
        <f aca="false">IFERROR(INDEX(ABC_XYZ!$L$5:$L$137,MATCH(A14,ABC_XYZ!$A$5:$A$137,0)),"SIN HIST")</f>
        <v>AY</v>
      </c>
      <c r="G14" s="24" t="n">
        <f aca="false">IF(LEFT(F14,1)="A",Parametros!$B$8,IF(LEFT(F14,1)="B",Parametros!$B$9,IF(LEFT(F14,1)="C",Parametros!$B$10,Parametros!$B$11)))</f>
        <v>0.98</v>
      </c>
      <c r="H14" s="27" t="n">
        <f aca="false">NORMSINV(G14)</f>
        <v>2.05374891063182</v>
      </c>
      <c r="I14" s="23" t="n">
        <v>49686.3</v>
      </c>
      <c r="J14" s="23" t="n">
        <f aca="false">IFERROR(INDEX(ABC_XYZ!$R$5:$R$137,MATCH(A14,ABC_XYZ!$A$5:$A$137,0)),I14*Parametros!$B$13)</f>
        <v>24438.2400442619</v>
      </c>
      <c r="K14" s="27" t="n">
        <f aca="false">IFERROR(VLOOKUP(C14,Parametros!$A$36:$B$41,2,FALSE()),Parametros!$B$12)</f>
        <v>1</v>
      </c>
      <c r="L14" s="23" t="n">
        <f aca="false">H14*J14*SQRT(K14)</f>
        <v>50190.0088686619</v>
      </c>
      <c r="M14" s="29" t="n">
        <v>365</v>
      </c>
      <c r="N14" s="24" t="n">
        <v>0.32054794520548</v>
      </c>
      <c r="O14" s="3" t="s">
        <v>371</v>
      </c>
      <c r="P14" s="30" t="n">
        <f aca="false">IF(AND(ISNUMBER(M14),ISNUMBER(N14)),M14*N14/7,"")</f>
        <v>16.7142857142857</v>
      </c>
      <c r="Q14" s="23" t="n">
        <f aca="false">IF(ISNUMBER(P14),I14*P14,"")</f>
        <v>830471.014285715</v>
      </c>
      <c r="R14" s="23" t="n">
        <f aca="false">IF(ISNUMBER(Q14),MAX(0,MIN(L14,Q14-I14*K14)),L14)</f>
        <v>50190.0088686619</v>
      </c>
      <c r="S14" s="23" t="n">
        <f aca="false">R14+I14*K14</f>
        <v>99876.3088686619</v>
      </c>
      <c r="T14" s="23" t="n">
        <v>165294</v>
      </c>
      <c r="U14" s="23" t="n">
        <v>0</v>
      </c>
      <c r="V14" s="23" t="n">
        <f aca="false">T14+U14</f>
        <v>165294</v>
      </c>
      <c r="W14" s="30" t="n">
        <f aca="false">IF(I14&gt;0,V14/I14,"")</f>
        <v>3.32675204231347</v>
      </c>
      <c r="X14" s="3" t="str">
        <f aca="false">IF(I14&lt;=0,"SIN FCST",IF(V14&lt;R14,"BAJO SS",IF(T14&lt;R14,"BAJO SS (XLIB CUBRE)",IF(V14&lt;S14,"BAJO P.REORDEN",IF(AND(ISNUMBER(Q14),V14&gt;Q14),"SOBRE MAX VENDIBLE","OK")))))</f>
        <v>OK</v>
      </c>
    </row>
    <row r="15" customFormat="false" ht="15" hidden="false" customHeight="false" outlineLevel="0" collapsed="false">
      <c r="A15" s="3" t="n">
        <v>30000481</v>
      </c>
      <c r="B15" s="3" t="s">
        <v>376</v>
      </c>
      <c r="C15" s="3" t="s">
        <v>129</v>
      </c>
      <c r="D15" s="3" t="s">
        <v>362</v>
      </c>
      <c r="E15" s="3" t="s">
        <v>363</v>
      </c>
      <c r="F15" s="3" t="str">
        <f aca="false">IFERROR(INDEX(ABC_XYZ!$L$5:$L$137,MATCH(A15,ABC_XYZ!$A$5:$A$137,0)),"SIN HIST")</f>
        <v>AX</v>
      </c>
      <c r="G15" s="24" t="n">
        <f aca="false">IF(LEFT(F15,1)="A",Parametros!$B$8,IF(LEFT(F15,1)="B",Parametros!$B$9,IF(LEFT(F15,1)="C",Parametros!$B$10,Parametros!$B$11)))</f>
        <v>0.98</v>
      </c>
      <c r="H15" s="27" t="n">
        <f aca="false">NORMSINV(G15)</f>
        <v>2.05374891063182</v>
      </c>
      <c r="I15" s="23" t="n">
        <v>40515.2</v>
      </c>
      <c r="J15" s="23" t="n">
        <f aca="false">IFERROR(INDEX(ABC_XYZ!$R$5:$R$137,MATCH(A15,ABC_XYZ!$A$5:$A$137,0)),I15*Parametros!$B$13)</f>
        <v>14170.7888300335</v>
      </c>
      <c r="K15" s="27" t="n">
        <f aca="false">IFERROR(VLOOKUP(C15,Parametros!$A$36:$B$41,2,FALSE()),Parametros!$B$12)</f>
        <v>1</v>
      </c>
      <c r="L15" s="23" t="n">
        <f aca="false">H15*J15*SQRT(K15)</f>
        <v>29103.242122475</v>
      </c>
      <c r="M15" s="29" t="n">
        <v>189</v>
      </c>
      <c r="N15" s="24" t="n">
        <v>0.259259259259259</v>
      </c>
      <c r="O15" s="3" t="s">
        <v>364</v>
      </c>
      <c r="P15" s="30" t="n">
        <f aca="false">IF(AND(ISNUMBER(M15),ISNUMBER(N15)),M15*N15/7,"")</f>
        <v>7</v>
      </c>
      <c r="Q15" s="23" t="n">
        <f aca="false">IF(ISNUMBER(P15),I15*P15,"")</f>
        <v>283606.4</v>
      </c>
      <c r="R15" s="23" t="n">
        <f aca="false">IF(ISNUMBER(Q15),MAX(0,MIN(L15,Q15-I15*K15)),L15)</f>
        <v>29103.242122475</v>
      </c>
      <c r="S15" s="23" t="n">
        <f aca="false">R15+I15*K15</f>
        <v>69618.442122475</v>
      </c>
      <c r="T15" s="23" t="n">
        <v>114012</v>
      </c>
      <c r="U15" s="23" t="n">
        <v>47280</v>
      </c>
      <c r="V15" s="23" t="n">
        <f aca="false">T15+U15</f>
        <v>161292</v>
      </c>
      <c r="W15" s="30" t="n">
        <f aca="false">IF(I15&gt;0,V15/I15,"")</f>
        <v>3.98102440565516</v>
      </c>
      <c r="X15" s="3" t="str">
        <f aca="false">IF(I15&lt;=0,"SIN FCST",IF(V15&lt;R15,"BAJO SS",IF(T15&lt;R15,"BAJO SS (XLIB CUBRE)",IF(V15&lt;S15,"BAJO P.REORDEN",IF(AND(ISNUMBER(Q15),V15&gt;Q15),"SOBRE MAX VENDIBLE","OK")))))</f>
        <v>OK</v>
      </c>
    </row>
    <row r="16" customFormat="false" ht="15" hidden="false" customHeight="false" outlineLevel="0" collapsed="false">
      <c r="A16" s="3" t="n">
        <v>30000309</v>
      </c>
      <c r="B16" s="3" t="s">
        <v>200</v>
      </c>
      <c r="C16" s="3" t="s">
        <v>129</v>
      </c>
      <c r="D16" s="3" t="s">
        <v>370</v>
      </c>
      <c r="E16" s="3" t="s">
        <v>363</v>
      </c>
      <c r="F16" s="3" t="str">
        <f aca="false">IFERROR(INDEX(ABC_XYZ!$L$5:$L$137,MATCH(A16,ABC_XYZ!$A$5:$A$137,0)),"SIN HIST")</f>
        <v>AX</v>
      </c>
      <c r="G16" s="24" t="n">
        <f aca="false">IF(LEFT(F16,1)="A",Parametros!$B$8,IF(LEFT(F16,1)="B",Parametros!$B$9,IF(LEFT(F16,1)="C",Parametros!$B$10,Parametros!$B$11)))</f>
        <v>0.98</v>
      </c>
      <c r="H16" s="27" t="n">
        <f aca="false">NORMSINV(G16)</f>
        <v>2.05374891063182</v>
      </c>
      <c r="I16" s="23" t="n">
        <v>40358.6</v>
      </c>
      <c r="J16" s="23" t="n">
        <f aca="false">IFERROR(INDEX(ABC_XYZ!$R$5:$R$137,MATCH(A16,ABC_XYZ!$A$5:$A$137,0)),I16*Parametros!$B$13)</f>
        <v>2581.79726393565</v>
      </c>
      <c r="K16" s="27" t="n">
        <f aca="false">IFERROR(VLOOKUP(C16,Parametros!$A$36:$B$41,2,FALSE()),Parametros!$B$12)</f>
        <v>1</v>
      </c>
      <c r="L16" s="23" t="n">
        <f aca="false">H16*J16*SQRT(K16)</f>
        <v>5302.36331828006</v>
      </c>
      <c r="M16" s="29" t="n">
        <v>245</v>
      </c>
      <c r="N16" s="24" t="n">
        <v>0.240816326530612</v>
      </c>
      <c r="O16" s="3" t="s">
        <v>364</v>
      </c>
      <c r="P16" s="30" t="n">
        <f aca="false">IF(AND(ISNUMBER(M16),ISNUMBER(N16)),M16*N16/7,"")</f>
        <v>8.42857142857143</v>
      </c>
      <c r="Q16" s="23" t="n">
        <f aca="false">IF(ISNUMBER(P16),I16*P16,"")</f>
        <v>340165.342857143</v>
      </c>
      <c r="R16" s="23" t="n">
        <f aca="false">IF(ISNUMBER(Q16),MAX(0,MIN(L16,Q16-I16*K16)),L16)</f>
        <v>5302.36331828006</v>
      </c>
      <c r="S16" s="23" t="n">
        <f aca="false">R16+I16*K16</f>
        <v>45660.9633182801</v>
      </c>
      <c r="T16" s="23" t="n">
        <v>136686</v>
      </c>
      <c r="U16" s="23" t="n">
        <v>0</v>
      </c>
      <c r="V16" s="23" t="n">
        <f aca="false">T16+U16</f>
        <v>136686</v>
      </c>
      <c r="W16" s="30" t="n">
        <f aca="false">IF(I16&gt;0,V16/I16,"")</f>
        <v>3.38678745050621</v>
      </c>
      <c r="X16" s="3" t="str">
        <f aca="false">IF(I16&lt;=0,"SIN FCST",IF(V16&lt;R16,"BAJO SS",IF(T16&lt;R16,"BAJO SS (XLIB CUBRE)",IF(V16&lt;S16,"BAJO P.REORDEN",IF(AND(ISNUMBER(Q16),V16&gt;Q16),"SOBRE MAX VENDIBLE","OK")))))</f>
        <v>OK</v>
      </c>
    </row>
    <row r="17" customFormat="false" ht="15" hidden="false" customHeight="false" outlineLevel="0" collapsed="false">
      <c r="A17" s="3" t="n">
        <v>30000400</v>
      </c>
      <c r="B17" s="3" t="s">
        <v>199</v>
      </c>
      <c r="C17" s="3" t="s">
        <v>129</v>
      </c>
      <c r="D17" s="3" t="s">
        <v>370</v>
      </c>
      <c r="E17" s="3" t="s">
        <v>363</v>
      </c>
      <c r="F17" s="3" t="str">
        <f aca="false">IFERROR(INDEX(ABC_XYZ!$L$5:$L$137,MATCH(A17,ABC_XYZ!$A$5:$A$137,0)),"SIN HIST")</f>
        <v>AX</v>
      </c>
      <c r="G17" s="24" t="n">
        <f aca="false">IF(LEFT(F17,1)="A",Parametros!$B$8,IF(LEFT(F17,1)="B",Parametros!$B$9,IF(LEFT(F17,1)="C",Parametros!$B$10,Parametros!$B$11)))</f>
        <v>0.98</v>
      </c>
      <c r="H17" s="27" t="n">
        <f aca="false">NORMSINV(G17)</f>
        <v>2.05374891063182</v>
      </c>
      <c r="I17" s="23" t="n">
        <v>32034.6</v>
      </c>
      <c r="J17" s="23" t="n">
        <f aca="false">IFERROR(INDEX(ABC_XYZ!$R$5:$R$137,MATCH(A17,ABC_XYZ!$A$5:$A$137,0)),I17*Parametros!$B$13)</f>
        <v>7041.43677838161</v>
      </c>
      <c r="K17" s="27" t="n">
        <f aca="false">IFERROR(VLOOKUP(C17,Parametros!$A$36:$B$41,2,FALSE()),Parametros!$B$12)</f>
        <v>1</v>
      </c>
      <c r="L17" s="23" t="n">
        <f aca="false">H17*J17*SQRT(K17)</f>
        <v>14461.3431128841</v>
      </c>
      <c r="M17" s="29" t="n">
        <v>214</v>
      </c>
      <c r="N17" s="24" t="n">
        <v>0.238317757009346</v>
      </c>
      <c r="O17" s="3" t="s">
        <v>364</v>
      </c>
      <c r="P17" s="30" t="n">
        <f aca="false">IF(AND(ISNUMBER(M17),ISNUMBER(N17)),M17*N17/7,"")</f>
        <v>7.28571428571429</v>
      </c>
      <c r="Q17" s="23" t="n">
        <f aca="false">IF(ISNUMBER(P17),I17*P17,"")</f>
        <v>233394.942857143</v>
      </c>
      <c r="R17" s="23" t="n">
        <f aca="false">IF(ISNUMBER(Q17),MAX(0,MIN(L17,Q17-I17*K17)),L17)</f>
        <v>14461.3431128841</v>
      </c>
      <c r="S17" s="23" t="n">
        <f aca="false">R17+I17*K17</f>
        <v>46495.9431128841</v>
      </c>
      <c r="T17" s="23" t="n">
        <v>57756</v>
      </c>
      <c r="U17" s="23" t="n">
        <v>78276</v>
      </c>
      <c r="V17" s="23" t="n">
        <f aca="false">T17+U17</f>
        <v>136032</v>
      </c>
      <c r="W17" s="30" t="n">
        <f aca="false">IF(I17&gt;0,V17/I17,"")</f>
        <v>4.2464085707329</v>
      </c>
      <c r="X17" s="3" t="str">
        <f aca="false">IF(I17&lt;=0,"SIN FCST",IF(V17&lt;R17,"BAJO SS",IF(T17&lt;R17,"BAJO SS (XLIB CUBRE)",IF(V17&lt;S17,"BAJO P.REORDEN",IF(AND(ISNUMBER(Q17),V17&gt;Q17),"SOBRE MAX VENDIBLE","OK")))))</f>
        <v>OK</v>
      </c>
    </row>
    <row r="18" customFormat="false" ht="15" hidden="false" customHeight="false" outlineLevel="0" collapsed="false">
      <c r="A18" s="3" t="n">
        <v>30000514</v>
      </c>
      <c r="B18" s="3" t="s">
        <v>377</v>
      </c>
      <c r="C18" s="3" t="s">
        <v>129</v>
      </c>
      <c r="D18" s="3" t="s">
        <v>370</v>
      </c>
      <c r="E18" s="3" t="s">
        <v>363</v>
      </c>
      <c r="F18" s="3" t="str">
        <f aca="false">IFERROR(INDEX(ABC_XYZ!$L$5:$L$137,MATCH(A18,ABC_XYZ!$A$5:$A$137,0)),"SIN HIST")</f>
        <v>AX</v>
      </c>
      <c r="G18" s="24" t="n">
        <f aca="false">IF(LEFT(F18,1)="A",Parametros!$B$8,IF(LEFT(F18,1)="B",Parametros!$B$9,IF(LEFT(F18,1)="C",Parametros!$B$10,Parametros!$B$11)))</f>
        <v>0.98</v>
      </c>
      <c r="H18" s="27" t="n">
        <f aca="false">NORMSINV(G18)</f>
        <v>2.05374891063182</v>
      </c>
      <c r="I18" s="23" t="n">
        <v>27791.5</v>
      </c>
      <c r="J18" s="23" t="n">
        <f aca="false">IFERROR(INDEX(ABC_XYZ!$R$5:$R$137,MATCH(A18,ABC_XYZ!$A$5:$A$137,0)),I18*Parametros!$B$13)</f>
        <v>7275.61225674743</v>
      </c>
      <c r="K18" s="27" t="n">
        <f aca="false">IFERROR(VLOOKUP(C18,Parametros!$A$36:$B$41,2,FALSE()),Parametros!$B$12)</f>
        <v>1</v>
      </c>
      <c r="L18" s="23" t="n">
        <f aca="false">H18*J18*SQRT(K18)</f>
        <v>14942.2807464746</v>
      </c>
      <c r="M18" s="29" t="n">
        <v>128</v>
      </c>
      <c r="N18" s="24" t="n">
        <v>0.21875</v>
      </c>
      <c r="O18" s="3" t="s">
        <v>364</v>
      </c>
      <c r="P18" s="30" t="n">
        <f aca="false">IF(AND(ISNUMBER(M18),ISNUMBER(N18)),M18*N18/7,"")</f>
        <v>4</v>
      </c>
      <c r="Q18" s="23" t="n">
        <f aca="false">IF(ISNUMBER(P18),I18*P18,"")</f>
        <v>111166</v>
      </c>
      <c r="R18" s="23" t="n">
        <f aca="false">IF(ISNUMBER(Q18),MAX(0,MIN(L18,Q18-I18*K18)),L18)</f>
        <v>14942.2807464746</v>
      </c>
      <c r="S18" s="23" t="n">
        <f aca="false">R18+I18*K18</f>
        <v>42733.7807464746</v>
      </c>
      <c r="T18" s="23" t="n">
        <v>31284</v>
      </c>
      <c r="U18" s="23" t="n">
        <v>0</v>
      </c>
      <c r="V18" s="23" t="n">
        <f aca="false">T18+U18</f>
        <v>31284</v>
      </c>
      <c r="W18" s="30" t="n">
        <f aca="false">IF(I18&gt;0,V18/I18,"")</f>
        <v>1.1256679200475</v>
      </c>
      <c r="X18" s="3" t="str">
        <f aca="false">IF(I18&lt;=0,"SIN FCST",IF(V18&lt;R18,"BAJO SS",IF(T18&lt;R18,"BAJO SS (XLIB CUBRE)",IF(V18&lt;S18,"BAJO P.REORDEN",IF(AND(ISNUMBER(Q18),V18&gt;Q18),"SOBRE MAX VENDIBLE","OK")))))</f>
        <v>BAJO P.REORDEN</v>
      </c>
    </row>
    <row r="19" customFormat="false" ht="15" hidden="false" customHeight="false" outlineLevel="0" collapsed="false">
      <c r="A19" s="3" t="n">
        <v>30000305</v>
      </c>
      <c r="B19" s="3" t="s">
        <v>207</v>
      </c>
      <c r="C19" s="3" t="s">
        <v>129</v>
      </c>
      <c r="D19" s="3" t="s">
        <v>370</v>
      </c>
      <c r="E19" s="3" t="s">
        <v>363</v>
      </c>
      <c r="F19" s="3" t="str">
        <f aca="false">IFERROR(INDEX(ABC_XYZ!$L$5:$L$137,MATCH(A19,ABC_XYZ!$A$5:$A$137,0)),"SIN HIST")</f>
        <v>AX</v>
      </c>
      <c r="G19" s="24" t="n">
        <f aca="false">IF(LEFT(F19,1)="A",Parametros!$B$8,IF(LEFT(F19,1)="B",Parametros!$B$9,IF(LEFT(F19,1)="C",Parametros!$B$10,Parametros!$B$11)))</f>
        <v>0.98</v>
      </c>
      <c r="H19" s="27" t="n">
        <f aca="false">NORMSINV(G19)</f>
        <v>2.05374891063182</v>
      </c>
      <c r="I19" s="23" t="n">
        <v>25150.5</v>
      </c>
      <c r="J19" s="23" t="n">
        <f aca="false">IFERROR(INDEX(ABC_XYZ!$R$5:$R$137,MATCH(A19,ABC_XYZ!$A$5:$A$137,0)),I19*Parametros!$B$13)</f>
        <v>3332.65282192597</v>
      </c>
      <c r="K19" s="27" t="n">
        <f aca="false">IFERROR(VLOOKUP(C19,Parametros!$A$36:$B$41,2,FALSE()),Parametros!$B$12)</f>
        <v>1</v>
      </c>
      <c r="L19" s="23" t="n">
        <f aca="false">H19*J19*SQRT(K19)</f>
        <v>6844.43210254454</v>
      </c>
      <c r="M19" s="29" t="n">
        <v>245</v>
      </c>
      <c r="N19" s="24" t="n">
        <v>0.220408163265306</v>
      </c>
      <c r="O19" s="3" t="s">
        <v>364</v>
      </c>
      <c r="P19" s="30" t="n">
        <f aca="false">IF(AND(ISNUMBER(M19),ISNUMBER(N19)),M19*N19/7,"")</f>
        <v>7.71428571428571</v>
      </c>
      <c r="Q19" s="23" t="n">
        <f aca="false">IF(ISNUMBER(P19),I19*P19,"")</f>
        <v>194018.142857143</v>
      </c>
      <c r="R19" s="23" t="n">
        <f aca="false">IF(ISNUMBER(Q19),MAX(0,MIN(L19,Q19-I19*K19)),L19)</f>
        <v>6844.43210254454</v>
      </c>
      <c r="S19" s="23" t="n">
        <f aca="false">R19+I19*K19</f>
        <v>31994.9321025445</v>
      </c>
      <c r="T19" s="23" t="n">
        <v>96918</v>
      </c>
      <c r="U19" s="23" t="n">
        <v>0</v>
      </c>
      <c r="V19" s="23" t="n">
        <f aca="false">T19+U19</f>
        <v>96918</v>
      </c>
      <c r="W19" s="30" t="n">
        <f aca="false">IF(I19&gt;0,V19/I19,"")</f>
        <v>3.8535217987714</v>
      </c>
      <c r="X19" s="3" t="str">
        <f aca="false">IF(I19&lt;=0,"SIN FCST",IF(V19&lt;R19,"BAJO SS",IF(T19&lt;R19,"BAJO SS (XLIB CUBRE)",IF(V19&lt;S19,"BAJO P.REORDEN",IF(AND(ISNUMBER(Q19),V19&gt;Q19),"SOBRE MAX VENDIBLE","OK")))))</f>
        <v>OK</v>
      </c>
    </row>
    <row r="20" customFormat="false" ht="15" hidden="false" customHeight="false" outlineLevel="0" collapsed="false">
      <c r="A20" s="3" t="n">
        <v>30002329</v>
      </c>
      <c r="B20" s="3" t="s">
        <v>206</v>
      </c>
      <c r="C20" s="3" t="s">
        <v>129</v>
      </c>
      <c r="D20" s="3" t="s">
        <v>370</v>
      </c>
      <c r="E20" s="3"/>
      <c r="F20" s="3" t="str">
        <f aca="false">IFERROR(INDEX(ABC_XYZ!$L$5:$L$137,MATCH(A20,ABC_XYZ!$A$5:$A$137,0)),"SIN HIST")</f>
        <v>AX</v>
      </c>
      <c r="G20" s="24" t="n">
        <f aca="false">IF(LEFT(F20,1)="A",Parametros!$B$8,IF(LEFT(F20,1)="B",Parametros!$B$9,IF(LEFT(F20,1)="C",Parametros!$B$10,Parametros!$B$11)))</f>
        <v>0.98</v>
      </c>
      <c r="H20" s="27" t="n">
        <f aca="false">NORMSINV(G20)</f>
        <v>2.05374891063182</v>
      </c>
      <c r="I20" s="23" t="n">
        <v>24088.6</v>
      </c>
      <c r="J20" s="23" t="n">
        <f aca="false">IFERROR(INDEX(ABC_XYZ!$R$5:$R$137,MATCH(A20,ABC_XYZ!$A$5:$A$137,0)),I20*Parametros!$B$13)</f>
        <v>5757.83858018592</v>
      </c>
      <c r="K20" s="27" t="n">
        <f aca="false">IFERROR(VLOOKUP(C20,Parametros!$A$36:$B$41,2,FALSE()),Parametros!$B$12)</f>
        <v>1</v>
      </c>
      <c r="L20" s="23" t="n">
        <f aca="false">H20*J20*SQRT(K20)</f>
        <v>11825.1547116507</v>
      </c>
      <c r="M20" s="29"/>
      <c r="N20" s="24"/>
      <c r="O20" s="3"/>
      <c r="P20" s="30" t="str">
        <f aca="false">IF(AND(ISNUMBER(M20),ISNUMBER(N20)),M20*N20/7,"")</f>
        <v/>
      </c>
      <c r="Q20" s="23" t="str">
        <f aca="false">IF(ISNUMBER(P20),I20*P20,"")</f>
        <v/>
      </c>
      <c r="R20" s="23" t="n">
        <f aca="false">IF(ISNUMBER(Q20),MAX(0,MIN(L20,Q20-I20*K20)),L20)</f>
        <v>11825.1547116507</v>
      </c>
      <c r="S20" s="23" t="n">
        <f aca="false">R20+I20*K20</f>
        <v>35913.7547116507</v>
      </c>
      <c r="T20" s="23" t="n">
        <v>86946</v>
      </c>
      <c r="U20" s="23" t="n">
        <v>0</v>
      </c>
      <c r="V20" s="23" t="n">
        <f aca="false">T20+U20</f>
        <v>86946</v>
      </c>
      <c r="W20" s="30" t="n">
        <f aca="false">IF(I20&gt;0,V20/I20,"")</f>
        <v>3.60942520528383</v>
      </c>
      <c r="X20" s="3" t="str">
        <f aca="false">IF(I20&lt;=0,"SIN FCST",IF(V20&lt;R20,"BAJO SS",IF(T20&lt;R20,"BAJO SS (XLIB CUBRE)",IF(V20&lt;S20,"BAJO P.REORDEN",IF(AND(ISNUMBER(Q20),V20&gt;Q20),"SOBRE MAX VENDIBLE","OK")))))</f>
        <v>OK</v>
      </c>
    </row>
    <row r="21" customFormat="false" ht="15" hidden="false" customHeight="false" outlineLevel="0" collapsed="false">
      <c r="A21" s="3" t="n">
        <v>30000384</v>
      </c>
      <c r="B21" s="3" t="s">
        <v>210</v>
      </c>
      <c r="C21" s="3" t="s">
        <v>124</v>
      </c>
      <c r="D21" s="3" t="s">
        <v>370</v>
      </c>
      <c r="E21" s="3" t="s">
        <v>363</v>
      </c>
      <c r="F21" s="3" t="str">
        <f aca="false">IFERROR(INDEX(ABC_XYZ!$L$5:$L$137,MATCH(A21,ABC_XYZ!$A$5:$A$137,0)),"SIN HIST")</f>
        <v>AX</v>
      </c>
      <c r="G21" s="24" t="n">
        <f aca="false">IF(LEFT(F21,1)="A",Parametros!$B$8,IF(LEFT(F21,1)="B",Parametros!$B$9,IF(LEFT(F21,1)="C",Parametros!$B$10,Parametros!$B$11)))</f>
        <v>0.98</v>
      </c>
      <c r="H21" s="27" t="n">
        <f aca="false">NORMSINV(G21)</f>
        <v>2.05374891063182</v>
      </c>
      <c r="I21" s="23" t="n">
        <v>23868.5</v>
      </c>
      <c r="J21" s="23" t="n">
        <f aca="false">IFERROR(INDEX(ABC_XYZ!$R$5:$R$137,MATCH(A21,ABC_XYZ!$A$5:$A$137,0)),I21*Parametros!$B$13)</f>
        <v>7743.98218960086</v>
      </c>
      <c r="K21" s="27" t="n">
        <f aca="false">IFERROR(VLOOKUP(C21,Parametros!$A$36:$B$41,2,FALSE()),Parametros!$B$12)</f>
        <v>1</v>
      </c>
      <c r="L21" s="23" t="n">
        <f aca="false">H21*J21*SQRT(K21)</f>
        <v>15904.194985845</v>
      </c>
      <c r="M21" s="29" t="n">
        <v>189</v>
      </c>
      <c r="N21" s="24" t="n">
        <v>0.259259259259259</v>
      </c>
      <c r="O21" s="3" t="s">
        <v>364</v>
      </c>
      <c r="P21" s="30" t="n">
        <f aca="false">IF(AND(ISNUMBER(M21),ISNUMBER(N21)),M21*N21/7,"")</f>
        <v>7</v>
      </c>
      <c r="Q21" s="23" t="n">
        <f aca="false">IF(ISNUMBER(P21),I21*P21,"")</f>
        <v>167079.5</v>
      </c>
      <c r="R21" s="23" t="n">
        <f aca="false">IF(ISNUMBER(Q21),MAX(0,MIN(L21,Q21-I21*K21)),L21)</f>
        <v>15904.194985845</v>
      </c>
      <c r="S21" s="23" t="n">
        <f aca="false">R21+I21*K21</f>
        <v>39772.694985845</v>
      </c>
      <c r="T21" s="23" t="n">
        <v>56862</v>
      </c>
      <c r="U21" s="23" t="n">
        <v>0</v>
      </c>
      <c r="V21" s="23" t="n">
        <f aca="false">T21+U21</f>
        <v>56862</v>
      </c>
      <c r="W21" s="30" t="n">
        <f aca="false">IF(I21&gt;0,V21/I21,"")</f>
        <v>2.38230303538136</v>
      </c>
      <c r="X21" s="3" t="str">
        <f aca="false">IF(I21&lt;=0,"SIN FCST",IF(V21&lt;R21,"BAJO SS",IF(T21&lt;R21,"BAJO SS (XLIB CUBRE)",IF(V21&lt;S21,"BAJO P.REORDEN",IF(AND(ISNUMBER(Q21),V21&gt;Q21),"SOBRE MAX VENDIBLE","OK")))))</f>
        <v>OK</v>
      </c>
    </row>
    <row r="22" customFormat="false" ht="15" hidden="false" customHeight="false" outlineLevel="0" collapsed="false">
      <c r="A22" s="3" t="n">
        <v>30002099</v>
      </c>
      <c r="B22" s="3" t="s">
        <v>378</v>
      </c>
      <c r="C22" s="3" t="s">
        <v>126</v>
      </c>
      <c r="D22" s="3" t="s">
        <v>370</v>
      </c>
      <c r="E22" s="3" t="s">
        <v>363</v>
      </c>
      <c r="F22" s="3" t="str">
        <f aca="false">IFERROR(INDEX(ABC_XYZ!$L$5:$L$137,MATCH(A22,ABC_XYZ!$A$5:$A$137,0)),"SIN HIST")</f>
        <v>AY</v>
      </c>
      <c r="G22" s="24" t="n">
        <f aca="false">IF(LEFT(F22,1)="A",Parametros!$B$8,IF(LEFT(F22,1)="B",Parametros!$B$9,IF(LEFT(F22,1)="C",Parametros!$B$10,Parametros!$B$11)))</f>
        <v>0.98</v>
      </c>
      <c r="H22" s="27" t="n">
        <f aca="false">NORMSINV(G22)</f>
        <v>2.05374891063182</v>
      </c>
      <c r="I22" s="23" t="n">
        <v>21569.8</v>
      </c>
      <c r="J22" s="23" t="n">
        <f aca="false">IFERROR(INDEX(ABC_XYZ!$R$5:$R$137,MATCH(A22,ABC_XYZ!$A$5:$A$137,0)),I22*Parametros!$B$13)</f>
        <v>25722.5607356231</v>
      </c>
      <c r="K22" s="27" t="n">
        <f aca="false">IFERROR(VLOOKUP(C22,Parametros!$A$36:$B$41,2,FALSE()),Parametros!$B$12)</f>
        <v>1</v>
      </c>
      <c r="L22" s="23" t="n">
        <f aca="false">H22*J22*SQRT(K22)</f>
        <v>52827.6810894469</v>
      </c>
      <c r="M22" s="29" t="n">
        <v>360</v>
      </c>
      <c r="N22" s="24" t="n">
        <v>0.194444444444444</v>
      </c>
      <c r="O22" s="3" t="s">
        <v>364</v>
      </c>
      <c r="P22" s="30" t="n">
        <f aca="false">IF(AND(ISNUMBER(M22),ISNUMBER(N22)),M22*N22/7,"")</f>
        <v>10</v>
      </c>
      <c r="Q22" s="23" t="n">
        <f aca="false">IF(ISNUMBER(P22),I22*P22,"")</f>
        <v>215698</v>
      </c>
      <c r="R22" s="23" t="n">
        <f aca="false">IF(ISNUMBER(Q22),MAX(0,MIN(L22,Q22-I22*K22)),L22)</f>
        <v>52827.6810894469</v>
      </c>
      <c r="S22" s="23" t="n">
        <f aca="false">R22+I22*K22</f>
        <v>74397.4810894469</v>
      </c>
      <c r="T22" s="23" t="n">
        <v>146766</v>
      </c>
      <c r="U22" s="23" t="n">
        <v>12</v>
      </c>
      <c r="V22" s="23" t="n">
        <f aca="false">T22+U22</f>
        <v>146778</v>
      </c>
      <c r="W22" s="30" t="n">
        <f aca="false">IF(I22&gt;0,V22/I22,"")</f>
        <v>6.80479188495026</v>
      </c>
      <c r="X22" s="3" t="str">
        <f aca="false">IF(I22&lt;=0,"SIN FCST",IF(V22&lt;R22,"BAJO SS",IF(T22&lt;R22,"BAJO SS (XLIB CUBRE)",IF(V22&lt;S22,"BAJO P.REORDEN",IF(AND(ISNUMBER(Q22),V22&gt;Q22),"SOBRE MAX VENDIBLE","OK")))))</f>
        <v>OK</v>
      </c>
    </row>
    <row r="23" customFormat="false" ht="15" hidden="false" customHeight="false" outlineLevel="0" collapsed="false">
      <c r="A23" s="3" t="n">
        <v>30002066</v>
      </c>
      <c r="B23" s="3" t="s">
        <v>203</v>
      </c>
      <c r="C23" s="3" t="s">
        <v>129</v>
      </c>
      <c r="D23" s="3" t="s">
        <v>370</v>
      </c>
      <c r="E23" s="3" t="s">
        <v>363</v>
      </c>
      <c r="F23" s="3" t="str">
        <f aca="false">IFERROR(INDEX(ABC_XYZ!$L$5:$L$137,MATCH(A23,ABC_XYZ!$A$5:$A$137,0)),"SIN HIST")</f>
        <v>AX</v>
      </c>
      <c r="G23" s="24" t="n">
        <f aca="false">IF(LEFT(F23,1)="A",Parametros!$B$8,IF(LEFT(F23,1)="B",Parametros!$B$9,IF(LEFT(F23,1)="C",Parametros!$B$10,Parametros!$B$11)))</f>
        <v>0.98</v>
      </c>
      <c r="H23" s="27" t="n">
        <f aca="false">NORMSINV(G23)</f>
        <v>2.05374891063182</v>
      </c>
      <c r="I23" s="23" t="n">
        <v>19012</v>
      </c>
      <c r="J23" s="23" t="n">
        <f aca="false">IFERROR(INDEX(ABC_XYZ!$R$5:$R$137,MATCH(A23,ABC_XYZ!$A$5:$A$137,0)),I23*Parametros!$B$13)</f>
        <v>19967.4549232887</v>
      </c>
      <c r="K23" s="27" t="n">
        <f aca="false">IFERROR(VLOOKUP(C23,Parametros!$A$36:$B$41,2,FALSE()),Parametros!$B$12)</f>
        <v>1</v>
      </c>
      <c r="L23" s="23" t="n">
        <f aca="false">H23*J23*SQRT(K23)</f>
        <v>41008.1387967941</v>
      </c>
      <c r="M23" s="29" t="n">
        <v>214</v>
      </c>
      <c r="N23" s="24" t="n">
        <v>0.238317757009346</v>
      </c>
      <c r="O23" s="3" t="s">
        <v>364</v>
      </c>
      <c r="P23" s="30" t="n">
        <f aca="false">IF(AND(ISNUMBER(M23),ISNUMBER(N23)),M23*N23/7,"")</f>
        <v>7.28571428571429</v>
      </c>
      <c r="Q23" s="23" t="n">
        <f aca="false">IF(ISNUMBER(P23),I23*P23,"")</f>
        <v>138516</v>
      </c>
      <c r="R23" s="23" t="n">
        <f aca="false">IF(ISNUMBER(Q23),MAX(0,MIN(L23,Q23-I23*K23)),L23)</f>
        <v>41008.1387967941</v>
      </c>
      <c r="S23" s="23" t="n">
        <f aca="false">R23+I23*K23</f>
        <v>60020.1387967941</v>
      </c>
      <c r="T23" s="23" t="n">
        <v>34860</v>
      </c>
      <c r="U23" s="23" t="n">
        <v>0</v>
      </c>
      <c r="V23" s="23" t="n">
        <f aca="false">T23+U23</f>
        <v>34860</v>
      </c>
      <c r="W23" s="30" t="n">
        <f aca="false">IF(I23&gt;0,V23/I23,"")</f>
        <v>1.83357879234168</v>
      </c>
      <c r="X23" s="3" t="str">
        <f aca="false">IF(I23&lt;=0,"SIN FCST",IF(V23&lt;R23,"BAJO SS",IF(T23&lt;R23,"BAJO SS (XLIB CUBRE)",IF(V23&lt;S23,"BAJO P.REORDEN",IF(AND(ISNUMBER(Q23),V23&gt;Q23),"SOBRE MAX VENDIBLE","OK")))))</f>
        <v>BAJO SS</v>
      </c>
    </row>
    <row r="24" customFormat="false" ht="15" hidden="false" customHeight="false" outlineLevel="0" collapsed="false">
      <c r="A24" s="3" t="n">
        <v>30002065</v>
      </c>
      <c r="B24" s="3" t="s">
        <v>225</v>
      </c>
      <c r="C24" s="3" t="s">
        <v>129</v>
      </c>
      <c r="D24" s="3" t="s">
        <v>370</v>
      </c>
      <c r="E24" s="3" t="s">
        <v>363</v>
      </c>
      <c r="F24" s="3" t="str">
        <f aca="false">IFERROR(INDEX(ABC_XYZ!$L$5:$L$137,MATCH(A24,ABC_XYZ!$A$5:$A$137,0)),"SIN HIST")</f>
        <v>BY</v>
      </c>
      <c r="G24" s="24" t="n">
        <f aca="false">IF(LEFT(F24,1)="A",Parametros!$B$8,IF(LEFT(F24,1)="B",Parametros!$B$9,IF(LEFT(F24,1)="C",Parametros!$B$10,Parametros!$B$11)))</f>
        <v>0.95</v>
      </c>
      <c r="H24" s="27" t="n">
        <f aca="false">NORMSINV(G24)</f>
        <v>1.64485362695147</v>
      </c>
      <c r="I24" s="23" t="n">
        <v>18482.1</v>
      </c>
      <c r="J24" s="23" t="n">
        <f aca="false">IFERROR(INDEX(ABC_XYZ!$R$5:$R$137,MATCH(A24,ABC_XYZ!$A$5:$A$137,0)),I24*Parametros!$B$13)</f>
        <v>4929.72906703458</v>
      </c>
      <c r="K24" s="27" t="n">
        <f aca="false">IFERROR(VLOOKUP(C24,Parametros!$A$36:$B$41,2,FALSE()),Parametros!$B$12)</f>
        <v>1</v>
      </c>
      <c r="L24" s="23" t="n">
        <f aca="false">H24*J24*SQRT(K24)</f>
        <v>8108.68273579992</v>
      </c>
      <c r="M24" s="29" t="n">
        <v>214</v>
      </c>
      <c r="N24" s="24" t="n">
        <v>0.238317757009346</v>
      </c>
      <c r="O24" s="3" t="s">
        <v>364</v>
      </c>
      <c r="P24" s="30" t="n">
        <f aca="false">IF(AND(ISNUMBER(M24),ISNUMBER(N24)),M24*N24/7,"")</f>
        <v>7.28571428571429</v>
      </c>
      <c r="Q24" s="23" t="n">
        <f aca="false">IF(ISNUMBER(P24),I24*P24,"")</f>
        <v>134655.3</v>
      </c>
      <c r="R24" s="23" t="n">
        <f aca="false">IF(ISNUMBER(Q24),MAX(0,MIN(L24,Q24-I24*K24)),L24)</f>
        <v>8108.68273579992</v>
      </c>
      <c r="S24" s="23" t="n">
        <f aca="false">R24+I24*K24</f>
        <v>26590.7827357999</v>
      </c>
      <c r="T24" s="23" t="n">
        <v>11520</v>
      </c>
      <c r="U24" s="23" t="n">
        <v>1008</v>
      </c>
      <c r="V24" s="23" t="n">
        <f aca="false">T24+U24</f>
        <v>12528</v>
      </c>
      <c r="W24" s="30" t="n">
        <f aca="false">IF(I24&gt;0,V24/I24,"")</f>
        <v>0.677845050075479</v>
      </c>
      <c r="X24" s="3" t="str">
        <f aca="false">IF(I24&lt;=0,"SIN FCST",IF(V24&lt;R24,"BAJO SS",IF(T24&lt;R24,"BAJO SS (XLIB CUBRE)",IF(V24&lt;S24,"BAJO P.REORDEN",IF(AND(ISNUMBER(Q24),V24&gt;Q24),"SOBRE MAX VENDIBLE","OK")))))</f>
        <v>BAJO P.REORDEN</v>
      </c>
    </row>
    <row r="25" customFormat="false" ht="15" hidden="false" customHeight="false" outlineLevel="0" collapsed="false">
      <c r="A25" s="3" t="n">
        <v>30000401</v>
      </c>
      <c r="B25" s="3" t="s">
        <v>379</v>
      </c>
      <c r="C25" s="3" t="s">
        <v>129</v>
      </c>
      <c r="D25" s="3" t="s">
        <v>370</v>
      </c>
      <c r="E25" s="3" t="s">
        <v>363</v>
      </c>
      <c r="F25" s="3" t="str">
        <f aca="false">IFERROR(INDEX(ABC_XYZ!$L$5:$L$137,MATCH(A25,ABC_XYZ!$A$5:$A$137,0)),"SIN HIST")</f>
        <v>AY</v>
      </c>
      <c r="G25" s="24" t="n">
        <f aca="false">IF(LEFT(F25,1)="A",Parametros!$B$8,IF(LEFT(F25,1)="B",Parametros!$B$9,IF(LEFT(F25,1)="C",Parametros!$B$10,Parametros!$B$11)))</f>
        <v>0.98</v>
      </c>
      <c r="H25" s="27" t="n">
        <f aca="false">NORMSINV(G25)</f>
        <v>2.05374891063182</v>
      </c>
      <c r="I25" s="23" t="n">
        <v>17935</v>
      </c>
      <c r="J25" s="23" t="n">
        <f aca="false">IFERROR(INDEX(ABC_XYZ!$R$5:$R$137,MATCH(A25,ABC_XYZ!$A$5:$A$137,0)),I25*Parametros!$B$13)</f>
        <v>22905.3487307147</v>
      </c>
      <c r="K25" s="27" t="n">
        <f aca="false">IFERROR(VLOOKUP(C25,Parametros!$A$36:$B$41,2,FALSE()),Parametros!$B$12)</f>
        <v>1</v>
      </c>
      <c r="L25" s="23" t="n">
        <f aca="false">H25*J25*SQRT(K25)</f>
        <v>47041.8350033473</v>
      </c>
      <c r="M25" s="29" t="n">
        <v>214</v>
      </c>
      <c r="N25" s="24" t="n">
        <v>0.238317757009346</v>
      </c>
      <c r="O25" s="3" t="s">
        <v>364</v>
      </c>
      <c r="P25" s="30" t="n">
        <f aca="false">IF(AND(ISNUMBER(M25),ISNUMBER(N25)),M25*N25/7,"")</f>
        <v>7.28571428571429</v>
      </c>
      <c r="Q25" s="23" t="n">
        <f aca="false">IF(ISNUMBER(P25),I25*P25,"")</f>
        <v>130669.285714286</v>
      </c>
      <c r="R25" s="23" t="n">
        <f aca="false">IF(ISNUMBER(Q25),MAX(0,MIN(L25,Q25-I25*K25)),L25)</f>
        <v>47041.8350033473</v>
      </c>
      <c r="S25" s="23" t="n">
        <f aca="false">R25+I25*K25</f>
        <v>64976.8350033473</v>
      </c>
      <c r="T25" s="23" t="n">
        <v>91698</v>
      </c>
      <c r="U25" s="23" t="n">
        <v>804</v>
      </c>
      <c r="V25" s="23" t="n">
        <f aca="false">T25+U25</f>
        <v>92502</v>
      </c>
      <c r="W25" s="30" t="n">
        <f aca="false">IF(I25&gt;0,V25/I25,"")</f>
        <v>5.15762475606356</v>
      </c>
      <c r="X25" s="3" t="str">
        <f aca="false">IF(I25&lt;=0,"SIN FCST",IF(V25&lt;R25,"BAJO SS",IF(T25&lt;R25,"BAJO SS (XLIB CUBRE)",IF(V25&lt;S25,"BAJO P.REORDEN",IF(AND(ISNUMBER(Q25),V25&gt;Q25),"SOBRE MAX VENDIBLE","OK")))))</f>
        <v>OK</v>
      </c>
    </row>
    <row r="26" customFormat="false" ht="15" hidden="false" customHeight="false" outlineLevel="0" collapsed="false">
      <c r="A26" s="3" t="n">
        <v>30000516</v>
      </c>
      <c r="B26" s="3" t="s">
        <v>380</v>
      </c>
      <c r="C26" s="3" t="s">
        <v>129</v>
      </c>
      <c r="D26" s="3" t="s">
        <v>370</v>
      </c>
      <c r="E26" s="3" t="s">
        <v>363</v>
      </c>
      <c r="F26" s="3" t="str">
        <f aca="false">IFERROR(INDEX(ABC_XYZ!$L$5:$L$137,MATCH(A26,ABC_XYZ!$A$5:$A$137,0)),"SIN HIST")</f>
        <v>BX</v>
      </c>
      <c r="G26" s="24" t="n">
        <f aca="false">IF(LEFT(F26,1)="A",Parametros!$B$8,IF(LEFT(F26,1)="B",Parametros!$B$9,IF(LEFT(F26,1)="C",Parametros!$B$10,Parametros!$B$11)))</f>
        <v>0.95</v>
      </c>
      <c r="H26" s="27" t="n">
        <f aca="false">NORMSINV(G26)</f>
        <v>1.64485362695147</v>
      </c>
      <c r="I26" s="23" t="n">
        <v>17466.5</v>
      </c>
      <c r="J26" s="23" t="n">
        <f aca="false">IFERROR(INDEX(ABC_XYZ!$R$5:$R$137,MATCH(A26,ABC_XYZ!$A$5:$A$137,0)),I26*Parametros!$B$13)</f>
        <v>2895.61257519175</v>
      </c>
      <c r="K26" s="27" t="n">
        <f aca="false">IFERROR(VLOOKUP(C26,Parametros!$A$36:$B$41,2,FALSE()),Parametros!$B$12)</f>
        <v>1</v>
      </c>
      <c r="L26" s="23" t="n">
        <f aca="false">H26*J26*SQRT(K26)</f>
        <v>4762.85884655044</v>
      </c>
      <c r="M26" s="29" t="n">
        <v>189</v>
      </c>
      <c r="N26" s="24" t="n">
        <v>0.259259259259259</v>
      </c>
      <c r="O26" s="3" t="s">
        <v>364</v>
      </c>
      <c r="P26" s="30" t="n">
        <f aca="false">IF(AND(ISNUMBER(M26),ISNUMBER(N26)),M26*N26/7,"")</f>
        <v>7</v>
      </c>
      <c r="Q26" s="23" t="n">
        <f aca="false">IF(ISNUMBER(P26),I26*P26,"")</f>
        <v>122265.5</v>
      </c>
      <c r="R26" s="23" t="n">
        <f aca="false">IF(ISNUMBER(Q26),MAX(0,MIN(L26,Q26-I26*K26)),L26)</f>
        <v>4762.85884655044</v>
      </c>
      <c r="S26" s="23" t="n">
        <f aca="false">R26+I26*K26</f>
        <v>22229.3588465504</v>
      </c>
      <c r="T26" s="23" t="n">
        <v>54372</v>
      </c>
      <c r="U26" s="23" t="n">
        <v>0</v>
      </c>
      <c r="V26" s="23" t="n">
        <f aca="false">T26+U26</f>
        <v>54372</v>
      </c>
      <c r="W26" s="30" t="n">
        <f aca="false">IF(I26&gt;0,V26/I26,"")</f>
        <v>3.11293046689377</v>
      </c>
      <c r="X26" s="3" t="str">
        <f aca="false">IF(I26&lt;=0,"SIN FCST",IF(V26&lt;R26,"BAJO SS",IF(T26&lt;R26,"BAJO SS (XLIB CUBRE)",IF(V26&lt;S26,"BAJO P.REORDEN",IF(AND(ISNUMBER(Q26),V26&gt;Q26),"SOBRE MAX VENDIBLE","OK")))))</f>
        <v>OK</v>
      </c>
    </row>
    <row r="27" customFormat="false" ht="15" hidden="false" customHeight="false" outlineLevel="0" collapsed="false">
      <c r="A27" s="3" t="n">
        <v>30002315</v>
      </c>
      <c r="B27" s="3" t="s">
        <v>208</v>
      </c>
      <c r="C27" s="3" t="s">
        <v>129</v>
      </c>
      <c r="D27" s="3" t="s">
        <v>362</v>
      </c>
      <c r="E27" s="3"/>
      <c r="F27" s="3" t="str">
        <f aca="false">IFERROR(INDEX(ABC_XYZ!$L$5:$L$137,MATCH(A27,ABC_XYZ!$A$5:$A$137,0)),"SIN HIST")</f>
        <v>AX</v>
      </c>
      <c r="G27" s="24" t="n">
        <f aca="false">IF(LEFT(F27,1)="A",Parametros!$B$8,IF(LEFT(F27,1)="B",Parametros!$B$9,IF(LEFT(F27,1)="C",Parametros!$B$10,Parametros!$B$11)))</f>
        <v>0.98</v>
      </c>
      <c r="H27" s="27" t="n">
        <f aca="false">NORMSINV(G27)</f>
        <v>2.05374891063182</v>
      </c>
      <c r="I27" s="23" t="n">
        <v>16808.1</v>
      </c>
      <c r="J27" s="23" t="n">
        <f aca="false">IFERROR(INDEX(ABC_XYZ!$R$5:$R$137,MATCH(A27,ABC_XYZ!$A$5:$A$137,0)),I27*Parametros!$B$13)</f>
        <v>7817.49426574967</v>
      </c>
      <c r="K27" s="27" t="n">
        <f aca="false">IFERROR(VLOOKUP(C27,Parametros!$A$36:$B$41,2,FALSE()),Parametros!$B$12)</f>
        <v>1</v>
      </c>
      <c r="L27" s="23" t="n">
        <f aca="false">H27*J27*SQRT(K27)</f>
        <v>16055.1703321539</v>
      </c>
      <c r="M27" s="29"/>
      <c r="N27" s="24"/>
      <c r="O27" s="3"/>
      <c r="P27" s="30" t="str">
        <f aca="false">IF(AND(ISNUMBER(M27),ISNUMBER(N27)),M27*N27/7,"")</f>
        <v/>
      </c>
      <c r="Q27" s="23" t="str">
        <f aca="false">IF(ISNUMBER(P27),I27*P27,"")</f>
        <v/>
      </c>
      <c r="R27" s="23" t="n">
        <f aca="false">IF(ISNUMBER(Q27),MAX(0,MIN(L27,Q27-I27*K27)),L27)</f>
        <v>16055.1703321539</v>
      </c>
      <c r="S27" s="23" t="n">
        <f aca="false">R27+I27*K27</f>
        <v>32863.2703321539</v>
      </c>
      <c r="T27" s="23" t="n">
        <v>2268</v>
      </c>
      <c r="U27" s="23" t="n">
        <v>51504</v>
      </c>
      <c r="V27" s="23" t="n">
        <f aca="false">T27+U27</f>
        <v>53772</v>
      </c>
      <c r="W27" s="30" t="n">
        <f aca="false">IF(I27&gt;0,V27/I27,"")</f>
        <v>3.19917182786871</v>
      </c>
      <c r="X27" s="3" t="str">
        <f aca="false">IF(I27&lt;=0,"SIN FCST",IF(V27&lt;R27,"BAJO SS",IF(T27&lt;R27,"BAJO SS (XLIB CUBRE)",IF(V27&lt;S27,"BAJO P.REORDEN",IF(AND(ISNUMBER(Q27),V27&gt;Q27),"SOBRE MAX VENDIBLE","OK")))))</f>
        <v>BAJO SS (XLIB CUBRE)</v>
      </c>
    </row>
    <row r="28" customFormat="false" ht="15" hidden="false" customHeight="false" outlineLevel="0" collapsed="false">
      <c r="A28" s="3" t="n">
        <v>30000254</v>
      </c>
      <c r="B28" s="3" t="s">
        <v>381</v>
      </c>
      <c r="C28" s="3" t="s">
        <v>126</v>
      </c>
      <c r="D28" s="3" t="s">
        <v>370</v>
      </c>
      <c r="E28" s="3" t="s">
        <v>363</v>
      </c>
      <c r="F28" s="3" t="str">
        <f aca="false">IFERROR(INDEX(ABC_XYZ!$L$5:$L$137,MATCH(A28,ABC_XYZ!$A$5:$A$137,0)),"SIN HIST")</f>
        <v>AX</v>
      </c>
      <c r="G28" s="24" t="n">
        <f aca="false">IF(LEFT(F28,1)="A",Parametros!$B$8,IF(LEFT(F28,1)="B",Parametros!$B$9,IF(LEFT(F28,1)="C",Parametros!$B$10,Parametros!$B$11)))</f>
        <v>0.98</v>
      </c>
      <c r="H28" s="27" t="n">
        <f aca="false">NORMSINV(G28)</f>
        <v>2.05374891063182</v>
      </c>
      <c r="I28" s="23" t="n">
        <v>16550.7</v>
      </c>
      <c r="J28" s="23" t="n">
        <f aca="false">IFERROR(INDEX(ABC_XYZ!$R$5:$R$137,MATCH(A28,ABC_XYZ!$A$5:$A$137,0)),I28*Parametros!$B$13)</f>
        <v>5634.41803113202</v>
      </c>
      <c r="K28" s="27" t="n">
        <f aca="false">IFERROR(VLOOKUP(C28,Parametros!$A$36:$B$41,2,FALSE()),Parametros!$B$12)</f>
        <v>1</v>
      </c>
      <c r="L28" s="23" t="n">
        <f aca="false">H28*J28*SQRT(K28)</f>
        <v>11571.6798934817</v>
      </c>
      <c r="M28" s="29" t="n">
        <v>275</v>
      </c>
      <c r="N28" s="24" t="n">
        <v>0.316363636363636</v>
      </c>
      <c r="O28" s="3" t="s">
        <v>371</v>
      </c>
      <c r="P28" s="30" t="n">
        <f aca="false">IF(AND(ISNUMBER(M28),ISNUMBER(N28)),M28*N28/7,"")</f>
        <v>12.4285714285714</v>
      </c>
      <c r="Q28" s="23" t="n">
        <f aca="false">IF(ISNUMBER(P28),I28*P28,"")</f>
        <v>205701.557142857</v>
      </c>
      <c r="R28" s="23" t="n">
        <f aca="false">IF(ISNUMBER(Q28),MAX(0,MIN(L28,Q28-I28*K28)),L28)</f>
        <v>11571.6798934817</v>
      </c>
      <c r="S28" s="23" t="n">
        <f aca="false">R28+I28*K28</f>
        <v>28122.3798934817</v>
      </c>
      <c r="T28" s="23" t="n">
        <v>81378</v>
      </c>
      <c r="U28" s="23" t="n">
        <v>0</v>
      </c>
      <c r="V28" s="23" t="n">
        <f aca="false">T28+U28</f>
        <v>81378</v>
      </c>
      <c r="W28" s="30" t="n">
        <f aca="false">IF(I28&gt;0,V28/I28,"")</f>
        <v>4.91689173267596</v>
      </c>
      <c r="X28" s="3" t="str">
        <f aca="false">IF(I28&lt;=0,"SIN FCST",IF(V28&lt;R28,"BAJO SS",IF(T28&lt;R28,"BAJO SS (XLIB CUBRE)",IF(V28&lt;S28,"BAJO P.REORDEN",IF(AND(ISNUMBER(Q28),V28&gt;Q28),"SOBRE MAX VENDIBLE","OK")))))</f>
        <v>OK</v>
      </c>
    </row>
    <row r="29" customFormat="false" ht="15" hidden="false" customHeight="false" outlineLevel="0" collapsed="false">
      <c r="A29" s="3" t="n">
        <v>30000206</v>
      </c>
      <c r="B29" s="3" t="s">
        <v>218</v>
      </c>
      <c r="C29" s="3" t="s">
        <v>126</v>
      </c>
      <c r="D29" s="3" t="s">
        <v>370</v>
      </c>
      <c r="E29" s="3" t="s">
        <v>363</v>
      </c>
      <c r="F29" s="3" t="str">
        <f aca="false">IFERROR(INDEX(ABC_XYZ!$L$5:$L$137,MATCH(A29,ABC_XYZ!$A$5:$A$137,0)),"SIN HIST")</f>
        <v>BX</v>
      </c>
      <c r="G29" s="24" t="n">
        <f aca="false">IF(LEFT(F29,1)="A",Parametros!$B$8,IF(LEFT(F29,1)="B",Parametros!$B$9,IF(LEFT(F29,1)="C",Parametros!$B$10,Parametros!$B$11)))</f>
        <v>0.95</v>
      </c>
      <c r="H29" s="27" t="n">
        <f aca="false">NORMSINV(G29)</f>
        <v>1.64485362695147</v>
      </c>
      <c r="I29" s="23" t="n">
        <v>15510.7</v>
      </c>
      <c r="J29" s="23" t="n">
        <f aca="false">IFERROR(INDEX(ABC_XYZ!$R$5:$R$137,MATCH(A29,ABC_XYZ!$A$5:$A$137,0)),I29*Parametros!$B$13)</f>
        <v>2654.09041869515</v>
      </c>
      <c r="K29" s="27" t="n">
        <f aca="false">IFERROR(VLOOKUP(C29,Parametros!$A$36:$B$41,2,FALSE()),Parametros!$B$12)</f>
        <v>1</v>
      </c>
      <c r="L29" s="23" t="n">
        <f aca="false">H29*J29*SQRT(K29)</f>
        <v>4365.59025144787</v>
      </c>
      <c r="M29" s="29" t="n">
        <v>275</v>
      </c>
      <c r="N29" s="24" t="n">
        <v>0.192727272727273</v>
      </c>
      <c r="O29" s="3" t="s">
        <v>364</v>
      </c>
      <c r="P29" s="30" t="n">
        <f aca="false">IF(AND(ISNUMBER(M29),ISNUMBER(N29)),M29*N29/7,"")</f>
        <v>7.57142857142857</v>
      </c>
      <c r="Q29" s="23" t="n">
        <f aca="false">IF(ISNUMBER(P29),I29*P29,"")</f>
        <v>117438.157142857</v>
      </c>
      <c r="R29" s="23" t="n">
        <f aca="false">IF(ISNUMBER(Q29),MAX(0,MIN(L29,Q29-I29*K29)),L29)</f>
        <v>4365.59025144787</v>
      </c>
      <c r="S29" s="23" t="n">
        <f aca="false">R29+I29*K29</f>
        <v>19876.2902514479</v>
      </c>
      <c r="T29" s="23" t="n">
        <v>65364</v>
      </c>
      <c r="U29" s="23" t="n">
        <v>0</v>
      </c>
      <c r="V29" s="23" t="n">
        <f aca="false">T29+U29</f>
        <v>65364</v>
      </c>
      <c r="W29" s="30" t="n">
        <f aca="false">IF(I29&gt;0,V29/I29,"")</f>
        <v>4.2141231536939</v>
      </c>
      <c r="X29" s="3" t="str">
        <f aca="false">IF(I29&lt;=0,"SIN FCST",IF(V29&lt;R29,"BAJO SS",IF(T29&lt;R29,"BAJO SS (XLIB CUBRE)",IF(V29&lt;S29,"BAJO P.REORDEN",IF(AND(ISNUMBER(Q29),V29&gt;Q29),"SOBRE MAX VENDIBLE","OK")))))</f>
        <v>OK</v>
      </c>
    </row>
    <row r="30" customFormat="false" ht="15" hidden="false" customHeight="false" outlineLevel="0" collapsed="false">
      <c r="A30" s="3" t="n">
        <v>30001684</v>
      </c>
      <c r="B30" s="3" t="s">
        <v>382</v>
      </c>
      <c r="C30" s="3" t="s">
        <v>126</v>
      </c>
      <c r="D30" s="3" t="s">
        <v>370</v>
      </c>
      <c r="E30" s="3" t="s">
        <v>363</v>
      </c>
      <c r="F30" s="3" t="str">
        <f aca="false">IFERROR(INDEX(ABC_XYZ!$L$5:$L$137,MATCH(A30,ABC_XYZ!$A$5:$A$137,0)),"SIN HIST")</f>
        <v>AX</v>
      </c>
      <c r="G30" s="24" t="n">
        <f aca="false">IF(LEFT(F30,1)="A",Parametros!$B$8,IF(LEFT(F30,1)="B",Parametros!$B$9,IF(LEFT(F30,1)="C",Parametros!$B$10,Parametros!$B$11)))</f>
        <v>0.98</v>
      </c>
      <c r="H30" s="27" t="n">
        <f aca="false">NORMSINV(G30)</f>
        <v>2.05374891063182</v>
      </c>
      <c r="I30" s="23" t="n">
        <v>15427.6</v>
      </c>
      <c r="J30" s="23" t="n">
        <f aca="false">IFERROR(INDEX(ABC_XYZ!$R$5:$R$137,MATCH(A30,ABC_XYZ!$A$5:$A$137,0)),I30*Parametros!$B$13)</f>
        <v>3254.77886393612</v>
      </c>
      <c r="K30" s="27" t="n">
        <f aca="false">IFERROR(VLOOKUP(C30,Parametros!$A$36:$B$41,2,FALSE()),Parametros!$B$12)</f>
        <v>1</v>
      </c>
      <c r="L30" s="23" t="n">
        <f aca="false">H30*J30*SQRT(K30)</f>
        <v>6684.49854615629</v>
      </c>
      <c r="M30" s="29" t="n">
        <v>275</v>
      </c>
      <c r="N30" s="24" t="n">
        <v>0.192727272727273</v>
      </c>
      <c r="O30" s="3" t="s">
        <v>364</v>
      </c>
      <c r="P30" s="30" t="n">
        <f aca="false">IF(AND(ISNUMBER(M30),ISNUMBER(N30)),M30*N30/7,"")</f>
        <v>7.57142857142857</v>
      </c>
      <c r="Q30" s="23" t="n">
        <f aca="false">IF(ISNUMBER(P30),I30*P30,"")</f>
        <v>116808.971428571</v>
      </c>
      <c r="R30" s="23" t="n">
        <f aca="false">IF(ISNUMBER(Q30),MAX(0,MIN(L30,Q30-I30*K30)),L30)</f>
        <v>6684.49854615629</v>
      </c>
      <c r="S30" s="23" t="n">
        <f aca="false">R30+I30*K30</f>
        <v>22112.0985461563</v>
      </c>
      <c r="T30" s="23" t="n">
        <v>42978</v>
      </c>
      <c r="U30" s="23" t="n">
        <v>34230</v>
      </c>
      <c r="V30" s="23" t="n">
        <f aca="false">T30+U30</f>
        <v>77208</v>
      </c>
      <c r="W30" s="30" t="n">
        <f aca="false">IF(I30&gt;0,V30/I30,"")</f>
        <v>5.00453732272032</v>
      </c>
      <c r="X30" s="3" t="str">
        <f aca="false">IF(I30&lt;=0,"SIN FCST",IF(V30&lt;R30,"BAJO SS",IF(T30&lt;R30,"BAJO SS (XLIB CUBRE)",IF(V30&lt;S30,"BAJO P.REORDEN",IF(AND(ISNUMBER(Q30),V30&gt;Q30),"SOBRE MAX VENDIBLE","OK")))))</f>
        <v>OK</v>
      </c>
    </row>
    <row r="31" customFormat="false" ht="15" hidden="false" customHeight="false" outlineLevel="0" collapsed="false">
      <c r="A31" s="3" t="n">
        <v>30001409</v>
      </c>
      <c r="B31" s="3" t="s">
        <v>383</v>
      </c>
      <c r="C31" s="3" t="s">
        <v>128</v>
      </c>
      <c r="D31" s="3" t="s">
        <v>362</v>
      </c>
      <c r="E31" s="3" t="s">
        <v>363</v>
      </c>
      <c r="F31" s="3" t="str">
        <f aca="false">IFERROR(INDEX(ABC_XYZ!$L$5:$L$137,MATCH(A31,ABC_XYZ!$A$5:$A$137,0)),"SIN HIST")</f>
        <v>AX</v>
      </c>
      <c r="G31" s="24" t="n">
        <f aca="false">IF(LEFT(F31,1)="A",Parametros!$B$8,IF(LEFT(F31,1)="B",Parametros!$B$9,IF(LEFT(F31,1)="C",Parametros!$B$10,Parametros!$B$11)))</f>
        <v>0.98</v>
      </c>
      <c r="H31" s="27" t="n">
        <f aca="false">NORMSINV(G31)</f>
        <v>2.05374891063182</v>
      </c>
      <c r="I31" s="23" t="n">
        <v>15147.8</v>
      </c>
      <c r="J31" s="23" t="n">
        <f aca="false">IFERROR(INDEX(ABC_XYZ!$R$5:$R$137,MATCH(A31,ABC_XYZ!$A$5:$A$137,0)),I31*Parametros!$B$13)</f>
        <v>4170.70595117852</v>
      </c>
      <c r="K31" s="27" t="n">
        <f aca="false">IFERROR(VLOOKUP(C31,Parametros!$A$36:$B$41,2,FALSE()),Parametros!$B$12)</f>
        <v>1</v>
      </c>
      <c r="L31" s="23" t="n">
        <f aca="false">H31*J31*SQRT(K31)</f>
        <v>8565.58280379853</v>
      </c>
      <c r="M31" s="29" t="n">
        <v>365</v>
      </c>
      <c r="N31" s="24" t="n">
        <v>0.32054794520548</v>
      </c>
      <c r="O31" s="3" t="s">
        <v>371</v>
      </c>
      <c r="P31" s="30" t="n">
        <f aca="false">IF(AND(ISNUMBER(M31),ISNUMBER(N31)),M31*N31/7,"")</f>
        <v>16.7142857142857</v>
      </c>
      <c r="Q31" s="23" t="n">
        <f aca="false">IF(ISNUMBER(P31),I31*P31,"")</f>
        <v>253184.657142857</v>
      </c>
      <c r="R31" s="23" t="n">
        <f aca="false">IF(ISNUMBER(Q31),MAX(0,MIN(L31,Q31-I31*K31)),L31)</f>
        <v>8565.58280379853</v>
      </c>
      <c r="S31" s="23" t="n">
        <f aca="false">R31+I31*K31</f>
        <v>23713.3828037985</v>
      </c>
      <c r="T31" s="23" t="n">
        <v>81634</v>
      </c>
      <c r="U31" s="23" t="n">
        <v>0</v>
      </c>
      <c r="V31" s="23" t="n">
        <f aca="false">T31+U31</f>
        <v>81634</v>
      </c>
      <c r="W31" s="30" t="n">
        <f aca="false">IF(I31&gt;0,V31/I31,"")</f>
        <v>5.38916542336181</v>
      </c>
      <c r="X31" s="3" t="str">
        <f aca="false">IF(I31&lt;=0,"SIN FCST",IF(V31&lt;R31,"BAJO SS",IF(T31&lt;R31,"BAJO SS (XLIB CUBRE)",IF(V31&lt;S31,"BAJO P.REORDEN",IF(AND(ISNUMBER(Q31),V31&gt;Q31),"SOBRE MAX VENDIBLE","OK")))))</f>
        <v>OK</v>
      </c>
    </row>
    <row r="32" customFormat="false" ht="15" hidden="false" customHeight="false" outlineLevel="0" collapsed="false">
      <c r="A32" s="3" t="n">
        <v>30002330</v>
      </c>
      <c r="B32" s="3" t="s">
        <v>215</v>
      </c>
      <c r="C32" s="3" t="s">
        <v>129</v>
      </c>
      <c r="D32" s="3" t="s">
        <v>370</v>
      </c>
      <c r="E32" s="3"/>
      <c r="F32" s="3" t="str">
        <f aca="false">IFERROR(INDEX(ABC_XYZ!$L$5:$L$137,MATCH(A32,ABC_XYZ!$A$5:$A$137,0)),"SIN HIST")</f>
        <v>BX</v>
      </c>
      <c r="G32" s="24" t="n">
        <f aca="false">IF(LEFT(F32,1)="A",Parametros!$B$8,IF(LEFT(F32,1)="B",Parametros!$B$9,IF(LEFT(F32,1)="C",Parametros!$B$10,Parametros!$B$11)))</f>
        <v>0.95</v>
      </c>
      <c r="H32" s="27" t="n">
        <f aca="false">NORMSINV(G32)</f>
        <v>1.64485362695147</v>
      </c>
      <c r="I32" s="23" t="n">
        <v>13960.4</v>
      </c>
      <c r="J32" s="23" t="n">
        <f aca="false">IFERROR(INDEX(ABC_XYZ!$R$5:$R$137,MATCH(A32,ABC_XYZ!$A$5:$A$137,0)),I32*Parametros!$B$13)</f>
        <v>6164.80235099199</v>
      </c>
      <c r="K32" s="27" t="n">
        <f aca="false">IFERROR(VLOOKUP(C32,Parametros!$A$36:$B$41,2,FALSE()),Parametros!$B$12)</f>
        <v>1</v>
      </c>
      <c r="L32" s="23" t="n">
        <f aca="false">H32*J32*SQRT(K32)</f>
        <v>10140.1975064681</v>
      </c>
      <c r="M32" s="29"/>
      <c r="N32" s="24"/>
      <c r="O32" s="3"/>
      <c r="P32" s="30" t="str">
        <f aca="false">IF(AND(ISNUMBER(M32),ISNUMBER(N32)),M32*N32/7,"")</f>
        <v/>
      </c>
      <c r="Q32" s="23" t="str">
        <f aca="false">IF(ISNUMBER(P32),I32*P32,"")</f>
        <v/>
      </c>
      <c r="R32" s="23" t="n">
        <f aca="false">IF(ISNUMBER(Q32),MAX(0,MIN(L32,Q32-I32*K32)),L32)</f>
        <v>10140.1975064681</v>
      </c>
      <c r="S32" s="23" t="n">
        <f aca="false">R32+I32*K32</f>
        <v>24100.5975064681</v>
      </c>
      <c r="T32" s="23" t="n">
        <v>29040</v>
      </c>
      <c r="U32" s="23" t="n">
        <v>0</v>
      </c>
      <c r="V32" s="23" t="n">
        <f aca="false">T32+U32</f>
        <v>29040</v>
      </c>
      <c r="W32" s="30" t="n">
        <f aca="false">IF(I32&gt;0,V32/I32,"")</f>
        <v>2.08016962264692</v>
      </c>
      <c r="X32" s="3" t="str">
        <f aca="false">IF(I32&lt;=0,"SIN FCST",IF(V32&lt;R32,"BAJO SS",IF(T32&lt;R32,"BAJO SS (XLIB CUBRE)",IF(V32&lt;S32,"BAJO P.REORDEN",IF(AND(ISNUMBER(Q32),V32&gt;Q32),"SOBRE MAX VENDIBLE","OK")))))</f>
        <v>OK</v>
      </c>
    </row>
    <row r="33" customFormat="false" ht="15" hidden="false" customHeight="false" outlineLevel="0" collapsed="false">
      <c r="A33" s="3" t="n">
        <v>30002177</v>
      </c>
      <c r="B33" s="3" t="s">
        <v>217</v>
      </c>
      <c r="C33" s="3" t="s">
        <v>130</v>
      </c>
      <c r="D33" s="3" t="s">
        <v>362</v>
      </c>
      <c r="E33" s="3" t="s">
        <v>363</v>
      </c>
      <c r="F33" s="3" t="str">
        <f aca="false">IFERROR(INDEX(ABC_XYZ!$L$5:$L$137,MATCH(A33,ABC_XYZ!$A$5:$A$137,0)),"SIN HIST")</f>
        <v>BX</v>
      </c>
      <c r="G33" s="24" t="n">
        <f aca="false">IF(LEFT(F33,1)="A",Parametros!$B$8,IF(LEFT(F33,1)="B",Parametros!$B$9,IF(LEFT(F33,1)="C",Parametros!$B$10,Parametros!$B$11)))</f>
        <v>0.95</v>
      </c>
      <c r="H33" s="27" t="n">
        <f aca="false">NORMSINV(G33)</f>
        <v>1.64485362695147</v>
      </c>
      <c r="I33" s="23" t="n">
        <v>13025.6</v>
      </c>
      <c r="J33" s="23" t="n">
        <f aca="false">IFERROR(INDEX(ABC_XYZ!$R$5:$R$137,MATCH(A33,ABC_XYZ!$A$5:$A$137,0)),I33*Parametros!$B$13)</f>
        <v>3625.64310127906</v>
      </c>
      <c r="K33" s="27" t="n">
        <f aca="false">IFERROR(VLOOKUP(C33,Parametros!$A$36:$B$41,2,FALSE()),Parametros!$B$12)</f>
        <v>1</v>
      </c>
      <c r="L33" s="23" t="n">
        <f aca="false">H33*J33*SQRT(K33)</f>
        <v>5963.65220517044</v>
      </c>
      <c r="M33" s="29" t="n">
        <v>184</v>
      </c>
      <c r="N33" s="24" t="n">
        <v>0.190217391304348</v>
      </c>
      <c r="O33" s="3" t="s">
        <v>364</v>
      </c>
      <c r="P33" s="30" t="n">
        <f aca="false">IF(AND(ISNUMBER(M33),ISNUMBER(N33)),M33*N33/7,"")</f>
        <v>5</v>
      </c>
      <c r="Q33" s="23" t="n">
        <f aca="false">IF(ISNUMBER(P33),I33*P33,"")</f>
        <v>65128</v>
      </c>
      <c r="R33" s="23" t="n">
        <f aca="false">IF(ISNUMBER(Q33),MAX(0,MIN(L33,Q33-I33*K33)),L33)</f>
        <v>5963.65220517044</v>
      </c>
      <c r="S33" s="23" t="n">
        <f aca="false">R33+I33*K33</f>
        <v>18989.2522051704</v>
      </c>
      <c r="T33" s="23" t="n">
        <v>66129.6</v>
      </c>
      <c r="U33" s="23" t="n">
        <v>0</v>
      </c>
      <c r="V33" s="23" t="n">
        <f aca="false">T33+U33</f>
        <v>66129.6</v>
      </c>
      <c r="W33" s="30" t="n">
        <f aca="false">IF(I33&gt;0,V33/I33,"")</f>
        <v>5.0768947303771</v>
      </c>
      <c r="X33" s="3" t="str">
        <f aca="false">IF(I33&lt;=0,"SIN FCST",IF(V33&lt;R33,"BAJO SS",IF(T33&lt;R33,"BAJO SS (XLIB CUBRE)",IF(V33&lt;S33,"BAJO P.REORDEN",IF(AND(ISNUMBER(Q33),V33&gt;Q33),"SOBRE MAX VENDIBLE","OK")))))</f>
        <v>SOBRE MAX VENDIBLE</v>
      </c>
    </row>
    <row r="34" customFormat="false" ht="15" hidden="false" customHeight="false" outlineLevel="0" collapsed="false">
      <c r="A34" s="3" t="n">
        <v>30000398</v>
      </c>
      <c r="B34" s="3" t="s">
        <v>221</v>
      </c>
      <c r="C34" s="3" t="s">
        <v>129</v>
      </c>
      <c r="D34" s="3" t="s">
        <v>370</v>
      </c>
      <c r="E34" s="3" t="s">
        <v>363</v>
      </c>
      <c r="F34" s="3" t="str">
        <f aca="false">IFERROR(INDEX(ABC_XYZ!$L$5:$L$137,MATCH(A34,ABC_XYZ!$A$5:$A$137,0)),"SIN HIST")</f>
        <v>BX</v>
      </c>
      <c r="G34" s="24" t="n">
        <f aca="false">IF(LEFT(F34,1)="A",Parametros!$B$8,IF(LEFT(F34,1)="B",Parametros!$B$9,IF(LEFT(F34,1)="C",Parametros!$B$10,Parametros!$B$11)))</f>
        <v>0.95</v>
      </c>
      <c r="H34" s="27" t="n">
        <f aca="false">NORMSINV(G34)</f>
        <v>1.64485362695147</v>
      </c>
      <c r="I34" s="23" t="n">
        <v>11094.9</v>
      </c>
      <c r="J34" s="23" t="n">
        <f aca="false">IFERROR(INDEX(ABC_XYZ!$R$5:$R$137,MATCH(A34,ABC_XYZ!$A$5:$A$137,0)),I34*Parametros!$B$13)</f>
        <v>2886.73467880028</v>
      </c>
      <c r="K34" s="27" t="n">
        <f aca="false">IFERROR(VLOOKUP(C34,Parametros!$A$36:$B$41,2,FALSE()),Parametros!$B$12)</f>
        <v>1</v>
      </c>
      <c r="L34" s="23" t="n">
        <f aca="false">H34*J34*SQRT(K34)</f>
        <v>4748.25600647123</v>
      </c>
      <c r="M34" s="29" t="n">
        <v>189</v>
      </c>
      <c r="N34" s="24" t="n">
        <v>0.259259259259259</v>
      </c>
      <c r="O34" s="3" t="s">
        <v>364</v>
      </c>
      <c r="P34" s="30" t="n">
        <f aca="false">IF(AND(ISNUMBER(M34),ISNUMBER(N34)),M34*N34/7,"")</f>
        <v>7</v>
      </c>
      <c r="Q34" s="23" t="n">
        <f aca="false">IF(ISNUMBER(P34),I34*P34,"")</f>
        <v>77664.3</v>
      </c>
      <c r="R34" s="23" t="n">
        <f aca="false">IF(ISNUMBER(Q34),MAX(0,MIN(L34,Q34-I34*K34)),L34)</f>
        <v>4748.25600647123</v>
      </c>
      <c r="S34" s="23" t="n">
        <f aca="false">R34+I34*K34</f>
        <v>15843.1560064712</v>
      </c>
      <c r="T34" s="23" t="n">
        <v>37944</v>
      </c>
      <c r="U34" s="23" t="n">
        <v>0</v>
      </c>
      <c r="V34" s="23" t="n">
        <f aca="false">T34+U34</f>
        <v>37944</v>
      </c>
      <c r="W34" s="30" t="n">
        <f aca="false">IF(I34&gt;0,V34/I34,"")</f>
        <v>3.41994970662196</v>
      </c>
      <c r="X34" s="3" t="str">
        <f aca="false">IF(I34&lt;=0,"SIN FCST",IF(V34&lt;R34,"BAJO SS",IF(T34&lt;R34,"BAJO SS (XLIB CUBRE)",IF(V34&lt;S34,"BAJO P.REORDEN",IF(AND(ISNUMBER(Q34),V34&gt;Q34),"SOBRE MAX VENDIBLE","OK")))))</f>
        <v>OK</v>
      </c>
    </row>
    <row r="35" customFormat="false" ht="15" hidden="false" customHeight="false" outlineLevel="0" collapsed="false">
      <c r="A35" s="3" t="n">
        <v>30000207</v>
      </c>
      <c r="B35" s="3" t="s">
        <v>222</v>
      </c>
      <c r="C35" s="3" t="s">
        <v>126</v>
      </c>
      <c r="D35" s="3" t="s">
        <v>370</v>
      </c>
      <c r="E35" s="3" t="s">
        <v>363</v>
      </c>
      <c r="F35" s="3" t="str">
        <f aca="false">IFERROR(INDEX(ABC_XYZ!$L$5:$L$137,MATCH(A35,ABC_XYZ!$A$5:$A$137,0)),"SIN HIST")</f>
        <v>BX</v>
      </c>
      <c r="G35" s="24" t="n">
        <f aca="false">IF(LEFT(F35,1)="A",Parametros!$B$8,IF(LEFT(F35,1)="B",Parametros!$B$9,IF(LEFT(F35,1)="C",Parametros!$B$10,Parametros!$B$11)))</f>
        <v>0.95</v>
      </c>
      <c r="H35" s="27" t="n">
        <f aca="false">NORMSINV(G35)</f>
        <v>1.64485362695147</v>
      </c>
      <c r="I35" s="23" t="n">
        <v>10977.7</v>
      </c>
      <c r="J35" s="23" t="n">
        <f aca="false">IFERROR(INDEX(ABC_XYZ!$R$5:$R$137,MATCH(A35,ABC_XYZ!$A$5:$A$137,0)),I35*Parametros!$B$13)</f>
        <v>1864.73129881278</v>
      </c>
      <c r="K35" s="27" t="n">
        <f aca="false">IFERROR(VLOOKUP(C35,Parametros!$A$36:$B$41,2,FALSE()),Parametros!$B$12)</f>
        <v>1</v>
      </c>
      <c r="L35" s="23" t="n">
        <f aca="false">H35*J35*SQRT(K35)</f>
        <v>3067.21004014213</v>
      </c>
      <c r="M35" s="29" t="n">
        <v>275</v>
      </c>
      <c r="N35" s="24" t="n">
        <v>0.316363636363636</v>
      </c>
      <c r="O35" s="3" t="s">
        <v>371</v>
      </c>
      <c r="P35" s="30" t="n">
        <f aca="false">IF(AND(ISNUMBER(M35),ISNUMBER(N35)),M35*N35/7,"")</f>
        <v>12.4285714285714</v>
      </c>
      <c r="Q35" s="23" t="n">
        <f aca="false">IF(ISNUMBER(P35),I35*P35,"")</f>
        <v>136437.128571429</v>
      </c>
      <c r="R35" s="23" t="n">
        <f aca="false">IF(ISNUMBER(Q35),MAX(0,MIN(L35,Q35-I35*K35)),L35)</f>
        <v>3067.21004014213</v>
      </c>
      <c r="S35" s="23" t="n">
        <f aca="false">R35+I35*K35</f>
        <v>14044.9100401421</v>
      </c>
      <c r="T35" s="23" t="n">
        <v>28002</v>
      </c>
      <c r="U35" s="23" t="n">
        <v>47280</v>
      </c>
      <c r="V35" s="23" t="n">
        <f aca="false">T35+U35</f>
        <v>75282</v>
      </c>
      <c r="W35" s="30" t="n">
        <f aca="false">IF(I35&gt;0,V35/I35,"")</f>
        <v>6.85772065186697</v>
      </c>
      <c r="X35" s="3" t="str">
        <f aca="false">IF(I35&lt;=0,"SIN FCST",IF(V35&lt;R35,"BAJO SS",IF(T35&lt;R35,"BAJO SS (XLIB CUBRE)",IF(V35&lt;S35,"BAJO P.REORDEN",IF(AND(ISNUMBER(Q35),V35&gt;Q35),"SOBRE MAX VENDIBLE","OK")))))</f>
        <v>OK</v>
      </c>
    </row>
    <row r="36" customFormat="false" ht="15" hidden="false" customHeight="false" outlineLevel="0" collapsed="false">
      <c r="A36" s="3" t="n">
        <v>30000300</v>
      </c>
      <c r="B36" s="3" t="s">
        <v>219</v>
      </c>
      <c r="C36" s="3" t="s">
        <v>129</v>
      </c>
      <c r="D36" s="3" t="s">
        <v>370</v>
      </c>
      <c r="E36" s="3" t="s">
        <v>363</v>
      </c>
      <c r="F36" s="3" t="str">
        <f aca="false">IFERROR(INDEX(ABC_XYZ!$L$5:$L$137,MATCH(A36,ABC_XYZ!$A$5:$A$137,0)),"SIN HIST")</f>
        <v>BX</v>
      </c>
      <c r="G36" s="24" t="n">
        <f aca="false">IF(LEFT(F36,1)="A",Parametros!$B$8,IF(LEFT(F36,1)="B",Parametros!$B$9,IF(LEFT(F36,1)="C",Parametros!$B$10,Parametros!$B$11)))</f>
        <v>0.95</v>
      </c>
      <c r="H36" s="27" t="n">
        <f aca="false">NORMSINV(G36)</f>
        <v>1.64485362695147</v>
      </c>
      <c r="I36" s="23" t="n">
        <v>10450.3</v>
      </c>
      <c r="J36" s="23" t="n">
        <f aca="false">IFERROR(INDEX(ABC_XYZ!$R$5:$R$137,MATCH(A36,ABC_XYZ!$A$5:$A$137,0)),I36*Parametros!$B$13)</f>
        <v>3980.09967834701</v>
      </c>
      <c r="K36" s="27" t="n">
        <f aca="false">IFERROR(VLOOKUP(C36,Parametros!$A$36:$B$41,2,FALSE()),Parametros!$B$12)</f>
        <v>1</v>
      </c>
      <c r="L36" s="23" t="n">
        <f aca="false">H36*J36*SQRT(K36)</f>
        <v>6546.68139155746</v>
      </c>
      <c r="M36" s="29" t="n">
        <v>214</v>
      </c>
      <c r="N36" s="24" t="n">
        <v>0.317757009345794</v>
      </c>
      <c r="O36" s="3" t="s">
        <v>384</v>
      </c>
      <c r="P36" s="30" t="n">
        <f aca="false">IF(AND(ISNUMBER(M36),ISNUMBER(N36)),M36*N36/7,"")</f>
        <v>9.71428571428571</v>
      </c>
      <c r="Q36" s="23" t="n">
        <f aca="false">IF(ISNUMBER(P36),I36*P36,"")</f>
        <v>101517.2</v>
      </c>
      <c r="R36" s="23" t="n">
        <f aca="false">IF(ISNUMBER(Q36),MAX(0,MIN(L36,Q36-I36*K36)),L36)</f>
        <v>6546.68139155746</v>
      </c>
      <c r="S36" s="23" t="n">
        <f aca="false">R36+I36*K36</f>
        <v>16996.9813915575</v>
      </c>
      <c r="T36" s="23" t="n">
        <v>35796</v>
      </c>
      <c r="U36" s="23" t="n">
        <v>0</v>
      </c>
      <c r="V36" s="23" t="n">
        <f aca="false">T36+U36</f>
        <v>35796</v>
      </c>
      <c r="W36" s="30" t="n">
        <f aca="false">IF(I36&gt;0,V36/I36,"")</f>
        <v>3.42535620986957</v>
      </c>
      <c r="X36" s="3" t="str">
        <f aca="false">IF(I36&lt;=0,"SIN FCST",IF(V36&lt;R36,"BAJO SS",IF(T36&lt;R36,"BAJO SS (XLIB CUBRE)",IF(V36&lt;S36,"BAJO P.REORDEN",IF(AND(ISNUMBER(Q36),V36&gt;Q36),"SOBRE MAX VENDIBLE","OK")))))</f>
        <v>OK</v>
      </c>
    </row>
    <row r="37" customFormat="false" ht="15" hidden="false" customHeight="false" outlineLevel="0" collapsed="false">
      <c r="A37" s="3" t="n">
        <v>30000010</v>
      </c>
      <c r="B37" s="3" t="s">
        <v>385</v>
      </c>
      <c r="C37" s="3" t="s">
        <v>129</v>
      </c>
      <c r="D37" s="3" t="s">
        <v>370</v>
      </c>
      <c r="E37" s="3" t="s">
        <v>363</v>
      </c>
      <c r="F37" s="3" t="str">
        <f aca="false">IFERROR(INDEX(ABC_XYZ!$L$5:$L$137,MATCH(A37,ABC_XYZ!$A$5:$A$137,0)),"SIN HIST")</f>
        <v>BX</v>
      </c>
      <c r="G37" s="24" t="n">
        <f aca="false">IF(LEFT(F37,1)="A",Parametros!$B$8,IF(LEFT(F37,1)="B",Parametros!$B$9,IF(LEFT(F37,1)="C",Parametros!$B$10,Parametros!$B$11)))</f>
        <v>0.95</v>
      </c>
      <c r="H37" s="27" t="n">
        <f aca="false">NORMSINV(G37)</f>
        <v>1.64485362695147</v>
      </c>
      <c r="I37" s="23" t="n">
        <v>10260.5</v>
      </c>
      <c r="J37" s="23" t="n">
        <f aca="false">IFERROR(INDEX(ABC_XYZ!$R$5:$R$137,MATCH(A37,ABC_XYZ!$A$5:$A$137,0)),I37*Parametros!$B$13)</f>
        <v>3067.755895969</v>
      </c>
      <c r="K37" s="27" t="n">
        <f aca="false">IFERROR(VLOOKUP(C37,Parametros!$A$36:$B$41,2,FALSE()),Parametros!$B$12)</f>
        <v>1</v>
      </c>
      <c r="L37" s="23" t="n">
        <f aca="false">H37*J37*SQRT(K37)</f>
        <v>5046.00941208638</v>
      </c>
      <c r="M37" s="29" t="n">
        <v>187</v>
      </c>
      <c r="N37" s="24" t="n">
        <v>0.240641711229947</v>
      </c>
      <c r="O37" s="3" t="s">
        <v>364</v>
      </c>
      <c r="P37" s="30" t="n">
        <f aca="false">IF(AND(ISNUMBER(M37),ISNUMBER(N37)),M37*N37/7,"")</f>
        <v>6.42857142857143</v>
      </c>
      <c r="Q37" s="23" t="n">
        <f aca="false">IF(ISNUMBER(P37),I37*P37,"")</f>
        <v>65960.3571428571</v>
      </c>
      <c r="R37" s="23" t="n">
        <f aca="false">IF(ISNUMBER(Q37),MAX(0,MIN(L37,Q37-I37*K37)),L37)</f>
        <v>5046.00941208638</v>
      </c>
      <c r="S37" s="23" t="n">
        <f aca="false">R37+I37*K37</f>
        <v>15306.5094120864</v>
      </c>
      <c r="T37" s="23" t="n">
        <v>25092</v>
      </c>
      <c r="U37" s="23" t="n">
        <v>23124</v>
      </c>
      <c r="V37" s="23" t="n">
        <f aca="false">T37+U37</f>
        <v>48216</v>
      </c>
      <c r="W37" s="30" t="n">
        <f aca="false">IF(I37&gt;0,V37/I37,"")</f>
        <v>4.69918619950295</v>
      </c>
      <c r="X37" s="3" t="str">
        <f aca="false">IF(I37&lt;=0,"SIN FCST",IF(V37&lt;R37,"BAJO SS",IF(T37&lt;R37,"BAJO SS (XLIB CUBRE)",IF(V37&lt;S37,"BAJO P.REORDEN",IF(AND(ISNUMBER(Q37),V37&gt;Q37),"SOBRE MAX VENDIBLE","OK")))))</f>
        <v>OK</v>
      </c>
    </row>
    <row r="38" customFormat="false" ht="15" hidden="false" customHeight="false" outlineLevel="0" collapsed="false">
      <c r="A38" s="3" t="n">
        <v>30001977</v>
      </c>
      <c r="B38" s="3" t="s">
        <v>220</v>
      </c>
      <c r="C38" s="3" t="s">
        <v>129</v>
      </c>
      <c r="D38" s="3" t="s">
        <v>370</v>
      </c>
      <c r="E38" s="3" t="s">
        <v>363</v>
      </c>
      <c r="F38" s="3" t="str">
        <f aca="false">IFERROR(INDEX(ABC_XYZ!$L$5:$L$137,MATCH(A38,ABC_XYZ!$A$5:$A$137,0)),"SIN HIST")</f>
        <v>BX</v>
      </c>
      <c r="G38" s="24" t="n">
        <f aca="false">IF(LEFT(F38,1)="A",Parametros!$B$8,IF(LEFT(F38,1)="B",Parametros!$B$9,IF(LEFT(F38,1)="C",Parametros!$B$10,Parametros!$B$11)))</f>
        <v>0.95</v>
      </c>
      <c r="H38" s="27" t="n">
        <f aca="false">NORMSINV(G38)</f>
        <v>1.64485362695147</v>
      </c>
      <c r="I38" s="23" t="n">
        <v>10013.7</v>
      </c>
      <c r="J38" s="23" t="n">
        <f aca="false">IFERROR(INDEX(ABC_XYZ!$R$5:$R$137,MATCH(A38,ABC_XYZ!$A$5:$A$137,0)),I38*Parametros!$B$13)</f>
        <v>5754.82962064391</v>
      </c>
      <c r="K38" s="27" t="n">
        <f aca="false">IFERROR(VLOOKUP(C38,Parametros!$A$36:$B$41,2,FALSE()),Parametros!$B$12)</f>
        <v>1</v>
      </c>
      <c r="L38" s="23" t="n">
        <f aca="false">H38*J38*SQRT(K38)</f>
        <v>9465.85237400389</v>
      </c>
      <c r="M38" s="29" t="n">
        <v>365</v>
      </c>
      <c r="N38" s="24" t="n">
        <v>0.498630136986301</v>
      </c>
      <c r="O38" s="3" t="s">
        <v>364</v>
      </c>
      <c r="P38" s="30" t="n">
        <f aca="false">IF(AND(ISNUMBER(M38),ISNUMBER(N38)),M38*N38/7,"")</f>
        <v>26</v>
      </c>
      <c r="Q38" s="23" t="n">
        <f aca="false">IF(ISNUMBER(P38),I38*P38,"")</f>
        <v>260356.2</v>
      </c>
      <c r="R38" s="23" t="n">
        <f aca="false">IF(ISNUMBER(Q38),MAX(0,MIN(L38,Q38-I38*K38)),L38)</f>
        <v>9465.85237400389</v>
      </c>
      <c r="S38" s="23" t="n">
        <f aca="false">R38+I38*K38</f>
        <v>19479.5523740039</v>
      </c>
      <c r="T38" s="23" t="n">
        <v>59166</v>
      </c>
      <c r="U38" s="23" t="n">
        <v>0</v>
      </c>
      <c r="V38" s="23" t="n">
        <f aca="false">T38+U38</f>
        <v>59166</v>
      </c>
      <c r="W38" s="30" t="n">
        <f aca="false">IF(I38&gt;0,V38/I38,"")</f>
        <v>5.90850534767369</v>
      </c>
      <c r="X38" s="3" t="str">
        <f aca="false">IF(I38&lt;=0,"SIN FCST",IF(V38&lt;R38,"BAJO SS",IF(T38&lt;R38,"BAJO SS (XLIB CUBRE)",IF(V38&lt;S38,"BAJO P.REORDEN",IF(AND(ISNUMBER(Q38),V38&gt;Q38),"SOBRE MAX VENDIBLE","OK")))))</f>
        <v>OK</v>
      </c>
    </row>
    <row r="39" customFormat="false" ht="15" hidden="false" customHeight="false" outlineLevel="0" collapsed="false">
      <c r="A39" s="3" t="n">
        <v>30000318</v>
      </c>
      <c r="B39" s="3" t="s">
        <v>224</v>
      </c>
      <c r="C39" s="3" t="s">
        <v>129</v>
      </c>
      <c r="D39" s="3" t="s">
        <v>370</v>
      </c>
      <c r="E39" s="3" t="s">
        <v>363</v>
      </c>
      <c r="F39" s="3" t="str">
        <f aca="false">IFERROR(INDEX(ABC_XYZ!$L$5:$L$137,MATCH(A39,ABC_XYZ!$A$5:$A$137,0)),"SIN HIST")</f>
        <v>BX</v>
      </c>
      <c r="G39" s="24" t="n">
        <f aca="false">IF(LEFT(F39,1)="A",Parametros!$B$8,IF(LEFT(F39,1)="B",Parametros!$B$9,IF(LEFT(F39,1)="C",Parametros!$B$10,Parametros!$B$11)))</f>
        <v>0.95</v>
      </c>
      <c r="H39" s="27" t="n">
        <f aca="false">NORMSINV(G39)</f>
        <v>1.64485362695147</v>
      </c>
      <c r="I39" s="23" t="n">
        <v>9341</v>
      </c>
      <c r="J39" s="23" t="n">
        <f aca="false">IFERROR(INDEX(ABC_XYZ!$R$5:$R$137,MATCH(A39,ABC_XYZ!$A$5:$A$137,0)),I39*Parametros!$B$13)</f>
        <v>2761.02036781365</v>
      </c>
      <c r="K39" s="27" t="n">
        <f aca="false">IFERROR(VLOOKUP(C39,Parametros!$A$36:$B$41,2,FALSE()),Parametros!$B$12)</f>
        <v>1</v>
      </c>
      <c r="L39" s="23" t="n">
        <f aca="false">H39*J39*SQRT(K39)</f>
        <v>4541.47436608517</v>
      </c>
      <c r="M39" s="29" t="n">
        <v>245</v>
      </c>
      <c r="N39" s="24" t="n">
        <v>0.220408163265306</v>
      </c>
      <c r="O39" s="3" t="s">
        <v>364</v>
      </c>
      <c r="P39" s="30" t="n">
        <f aca="false">IF(AND(ISNUMBER(M39),ISNUMBER(N39)),M39*N39/7,"")</f>
        <v>7.71428571428571</v>
      </c>
      <c r="Q39" s="23" t="n">
        <f aca="false">IF(ISNUMBER(P39),I39*P39,"")</f>
        <v>72059.1428571429</v>
      </c>
      <c r="R39" s="23" t="n">
        <f aca="false">IF(ISNUMBER(Q39),MAX(0,MIN(L39,Q39-I39*K39)),L39)</f>
        <v>4541.47436608517</v>
      </c>
      <c r="S39" s="23" t="n">
        <f aca="false">R39+I39*K39</f>
        <v>13882.4743660852</v>
      </c>
      <c r="T39" s="23" t="n">
        <v>23832</v>
      </c>
      <c r="U39" s="23" t="n">
        <v>864</v>
      </c>
      <c r="V39" s="23" t="n">
        <f aca="false">T39+U39</f>
        <v>24696</v>
      </c>
      <c r="W39" s="30" t="n">
        <f aca="false">IF(I39&gt;0,V39/I39,"")</f>
        <v>2.64382828390965</v>
      </c>
      <c r="X39" s="3" t="str">
        <f aca="false">IF(I39&lt;=0,"SIN FCST",IF(V39&lt;R39,"BAJO SS",IF(T39&lt;R39,"BAJO SS (XLIB CUBRE)",IF(V39&lt;S39,"BAJO P.REORDEN",IF(AND(ISNUMBER(Q39),V39&gt;Q39),"SOBRE MAX VENDIBLE","OK")))))</f>
        <v>OK</v>
      </c>
    </row>
    <row r="40" customFormat="false" ht="15" hidden="false" customHeight="false" outlineLevel="0" collapsed="false">
      <c r="A40" s="3" t="n">
        <v>30002078</v>
      </c>
      <c r="B40" s="3" t="s">
        <v>233</v>
      </c>
      <c r="C40" s="3" t="s">
        <v>129</v>
      </c>
      <c r="D40" s="3" t="s">
        <v>370</v>
      </c>
      <c r="E40" s="3" t="s">
        <v>363</v>
      </c>
      <c r="F40" s="3" t="str">
        <f aca="false">IFERROR(INDEX(ABC_XYZ!$L$5:$L$137,MATCH(A40,ABC_XYZ!$A$5:$A$137,0)),"SIN HIST")</f>
        <v>BX</v>
      </c>
      <c r="G40" s="24" t="n">
        <f aca="false">IF(LEFT(F40,1)="A",Parametros!$B$8,IF(LEFT(F40,1)="B",Parametros!$B$9,IF(LEFT(F40,1)="C",Parametros!$B$10,Parametros!$B$11)))</f>
        <v>0.95</v>
      </c>
      <c r="H40" s="27" t="n">
        <f aca="false">NORMSINV(G40)</f>
        <v>1.64485362695147</v>
      </c>
      <c r="I40" s="23" t="n">
        <v>9333.6</v>
      </c>
      <c r="J40" s="23" t="n">
        <f aca="false">IFERROR(INDEX(ABC_XYZ!$R$5:$R$137,MATCH(A40,ABC_XYZ!$A$5:$A$137,0)),I40*Parametros!$B$13)</f>
        <v>3352.22363337893</v>
      </c>
      <c r="K40" s="27" t="n">
        <f aca="false">IFERROR(VLOOKUP(C40,Parametros!$A$36:$B$41,2,FALSE()),Parametros!$B$12)</f>
        <v>1</v>
      </c>
      <c r="L40" s="23" t="n">
        <f aca="false">H40*J40*SQRT(K40)</f>
        <v>5513.91720171578</v>
      </c>
      <c r="M40" s="29" t="n">
        <v>214</v>
      </c>
      <c r="N40" s="24" t="n">
        <v>0.238317757009346</v>
      </c>
      <c r="O40" s="3" t="s">
        <v>364</v>
      </c>
      <c r="P40" s="30" t="n">
        <f aca="false">IF(AND(ISNUMBER(M40),ISNUMBER(N40)),M40*N40/7,"")</f>
        <v>7.28571428571429</v>
      </c>
      <c r="Q40" s="23" t="n">
        <f aca="false">IF(ISNUMBER(P40),I40*P40,"")</f>
        <v>68001.9428571429</v>
      </c>
      <c r="R40" s="23" t="n">
        <f aca="false">IF(ISNUMBER(Q40),MAX(0,MIN(L40,Q40-I40*K40)),L40)</f>
        <v>5513.91720171578</v>
      </c>
      <c r="S40" s="23" t="n">
        <f aca="false">R40+I40*K40</f>
        <v>14847.5172017158</v>
      </c>
      <c r="T40" s="23" t="n">
        <v>12216</v>
      </c>
      <c r="U40" s="23" t="n">
        <v>0</v>
      </c>
      <c r="V40" s="23" t="n">
        <f aca="false">T40+U40</f>
        <v>12216</v>
      </c>
      <c r="W40" s="30" t="n">
        <f aca="false">IF(I40&gt;0,V40/I40,"")</f>
        <v>1.3088197480072</v>
      </c>
      <c r="X40" s="3" t="str">
        <f aca="false">IF(I40&lt;=0,"SIN FCST",IF(V40&lt;R40,"BAJO SS",IF(T40&lt;R40,"BAJO SS (XLIB CUBRE)",IF(V40&lt;S40,"BAJO P.REORDEN",IF(AND(ISNUMBER(Q40),V40&gt;Q40),"SOBRE MAX VENDIBLE","OK")))))</f>
        <v>BAJO P.REORDEN</v>
      </c>
    </row>
    <row r="41" customFormat="false" ht="15" hidden="false" customHeight="false" outlineLevel="0" collapsed="false">
      <c r="A41" s="3" t="n">
        <v>30000347</v>
      </c>
      <c r="B41" s="3" t="s">
        <v>227</v>
      </c>
      <c r="C41" s="3" t="s">
        <v>124</v>
      </c>
      <c r="D41" s="3" t="s">
        <v>370</v>
      </c>
      <c r="E41" s="3" t="s">
        <v>363</v>
      </c>
      <c r="F41" s="3" t="str">
        <f aca="false">IFERROR(INDEX(ABC_XYZ!$L$5:$L$137,MATCH(A41,ABC_XYZ!$A$5:$A$137,0)),"SIN HIST")</f>
        <v>BX</v>
      </c>
      <c r="G41" s="24" t="n">
        <f aca="false">IF(LEFT(F41,1)="A",Parametros!$B$8,IF(LEFT(F41,1)="B",Parametros!$B$9,IF(LEFT(F41,1)="C",Parametros!$B$10,Parametros!$B$11)))</f>
        <v>0.95</v>
      </c>
      <c r="H41" s="27" t="n">
        <f aca="false">NORMSINV(G41)</f>
        <v>1.64485362695147</v>
      </c>
      <c r="I41" s="23" t="n">
        <v>9162.5</v>
      </c>
      <c r="J41" s="23" t="n">
        <f aca="false">IFERROR(INDEX(ABC_XYZ!$R$5:$R$137,MATCH(A41,ABC_XYZ!$A$5:$A$137,0)),I41*Parametros!$B$13)</f>
        <v>3019.7257768727</v>
      </c>
      <c r="K41" s="27" t="n">
        <f aca="false">IFERROR(VLOOKUP(C41,Parametros!$A$36:$B$41,2,FALSE()),Parametros!$B$12)</f>
        <v>1</v>
      </c>
      <c r="L41" s="23" t="n">
        <f aca="false">H41*J41*SQRT(K41)</f>
        <v>4967.0068964879</v>
      </c>
      <c r="M41" s="29" t="n">
        <v>184</v>
      </c>
      <c r="N41" s="24" t="n">
        <v>0.239130434782609</v>
      </c>
      <c r="O41" s="3" t="s">
        <v>364</v>
      </c>
      <c r="P41" s="30" t="n">
        <f aca="false">IF(AND(ISNUMBER(M41),ISNUMBER(N41)),M41*N41/7,"")</f>
        <v>6.28571428571428</v>
      </c>
      <c r="Q41" s="23" t="n">
        <f aca="false">IF(ISNUMBER(P41),I41*P41,"")</f>
        <v>57592.8571428571</v>
      </c>
      <c r="R41" s="23" t="n">
        <f aca="false">IF(ISNUMBER(Q41),MAX(0,MIN(L41,Q41-I41*K41)),L41)</f>
        <v>4967.0068964879</v>
      </c>
      <c r="S41" s="23" t="n">
        <f aca="false">R41+I41*K41</f>
        <v>14129.5068964879</v>
      </c>
      <c r="T41" s="23" t="n">
        <v>42000</v>
      </c>
      <c r="U41" s="23" t="n">
        <v>0</v>
      </c>
      <c r="V41" s="23" t="n">
        <f aca="false">T41+U41</f>
        <v>42000</v>
      </c>
      <c r="W41" s="30" t="n">
        <f aca="false">IF(I41&gt;0,V41/I41,"")</f>
        <v>4.58390177353342</v>
      </c>
      <c r="X41" s="3" t="str">
        <f aca="false">IF(I41&lt;=0,"SIN FCST",IF(V41&lt;R41,"BAJO SS",IF(T41&lt;R41,"BAJO SS (XLIB CUBRE)",IF(V41&lt;S41,"BAJO P.REORDEN",IF(AND(ISNUMBER(Q41),V41&gt;Q41),"SOBRE MAX VENDIBLE","OK")))))</f>
        <v>OK</v>
      </c>
    </row>
    <row r="42" customFormat="false" ht="15" hidden="false" customHeight="false" outlineLevel="0" collapsed="false">
      <c r="A42" s="3" t="n">
        <v>30001404</v>
      </c>
      <c r="B42" s="3" t="s">
        <v>386</v>
      </c>
      <c r="C42" s="3" t="s">
        <v>129</v>
      </c>
      <c r="D42" s="3" t="s">
        <v>370</v>
      </c>
      <c r="E42" s="3" t="s">
        <v>363</v>
      </c>
      <c r="F42" s="3" t="str">
        <f aca="false">IFERROR(INDEX(ABC_XYZ!$L$5:$L$137,MATCH(A42,ABC_XYZ!$A$5:$A$137,0)),"SIN HIST")</f>
        <v>BX</v>
      </c>
      <c r="G42" s="24" t="n">
        <f aca="false">IF(LEFT(F42,1)="A",Parametros!$B$8,IF(LEFT(F42,1)="B",Parametros!$B$9,IF(LEFT(F42,1)="C",Parametros!$B$10,Parametros!$B$11)))</f>
        <v>0.95</v>
      </c>
      <c r="H42" s="27" t="n">
        <f aca="false">NORMSINV(G42)</f>
        <v>1.64485362695147</v>
      </c>
      <c r="I42" s="23" t="n">
        <v>9101.4</v>
      </c>
      <c r="J42" s="23" t="n">
        <f aca="false">IFERROR(INDEX(ABC_XYZ!$R$5:$R$137,MATCH(A42,ABC_XYZ!$A$5:$A$137,0)),I42*Parametros!$B$13)</f>
        <v>1608.13593429306</v>
      </c>
      <c r="K42" s="27" t="n">
        <f aca="false">IFERROR(VLOOKUP(C42,Parametros!$A$36:$B$41,2,FALSE()),Parametros!$B$12)</f>
        <v>1</v>
      </c>
      <c r="L42" s="23" t="n">
        <f aca="false">H42*J42*SQRT(K42)</f>
        <v>2645.14822415293</v>
      </c>
      <c r="M42" s="29" t="n">
        <v>250</v>
      </c>
      <c r="N42" s="24" t="n">
        <v>0.224</v>
      </c>
      <c r="O42" s="3" t="s">
        <v>364</v>
      </c>
      <c r="P42" s="30" t="n">
        <f aca="false">IF(AND(ISNUMBER(M42),ISNUMBER(N42)),M42*N42/7,"")</f>
        <v>8</v>
      </c>
      <c r="Q42" s="23" t="n">
        <f aca="false">IF(ISNUMBER(P42),I42*P42,"")</f>
        <v>72811.2</v>
      </c>
      <c r="R42" s="23" t="n">
        <f aca="false">IF(ISNUMBER(Q42),MAX(0,MIN(L42,Q42-I42*K42)),L42)</f>
        <v>2645.14822415293</v>
      </c>
      <c r="S42" s="23" t="n">
        <f aca="false">R42+I42*K42</f>
        <v>11746.5482241529</v>
      </c>
      <c r="T42" s="23" t="n">
        <v>33115.5</v>
      </c>
      <c r="U42" s="23" t="n">
        <v>0</v>
      </c>
      <c r="V42" s="23" t="n">
        <f aca="false">T42+U42</f>
        <v>33115.5</v>
      </c>
      <c r="W42" s="30" t="n">
        <f aca="false">IF(I42&gt;0,V42/I42,"")</f>
        <v>3.63850616388687</v>
      </c>
      <c r="X42" s="3" t="str">
        <f aca="false">IF(I42&lt;=0,"SIN FCST",IF(V42&lt;R42,"BAJO SS",IF(T42&lt;R42,"BAJO SS (XLIB CUBRE)",IF(V42&lt;S42,"BAJO P.REORDEN",IF(AND(ISNUMBER(Q42),V42&gt;Q42),"SOBRE MAX VENDIBLE","OK")))))</f>
        <v>OK</v>
      </c>
    </row>
    <row r="43" customFormat="false" ht="15" hidden="false" customHeight="false" outlineLevel="0" collapsed="false">
      <c r="A43" s="3" t="n">
        <v>30000306</v>
      </c>
      <c r="B43" s="3" t="s">
        <v>231</v>
      </c>
      <c r="C43" s="3" t="s">
        <v>129</v>
      </c>
      <c r="D43" s="3" t="s">
        <v>370</v>
      </c>
      <c r="E43" s="3" t="s">
        <v>363</v>
      </c>
      <c r="F43" s="3" t="str">
        <f aca="false">IFERROR(INDEX(ABC_XYZ!$L$5:$L$137,MATCH(A43,ABC_XYZ!$A$5:$A$137,0)),"SIN HIST")</f>
        <v>BX</v>
      </c>
      <c r="G43" s="24" t="n">
        <f aca="false">IF(LEFT(F43,1)="A",Parametros!$B$8,IF(LEFT(F43,1)="B",Parametros!$B$9,IF(LEFT(F43,1)="C",Parametros!$B$10,Parametros!$B$11)))</f>
        <v>0.95</v>
      </c>
      <c r="H43" s="27" t="n">
        <f aca="false">NORMSINV(G43)</f>
        <v>1.64485362695147</v>
      </c>
      <c r="I43" s="23" t="n">
        <v>8323.6</v>
      </c>
      <c r="J43" s="23" t="n">
        <f aca="false">IFERROR(INDEX(ABC_XYZ!$R$5:$R$137,MATCH(A43,ABC_XYZ!$A$5:$A$137,0)),I43*Parametros!$B$13)</f>
        <v>2203.79090454783</v>
      </c>
      <c r="K43" s="27" t="n">
        <f aca="false">IFERROR(VLOOKUP(C43,Parametros!$A$36:$B$41,2,FALSE()),Parametros!$B$12)</f>
        <v>1</v>
      </c>
      <c r="L43" s="23" t="n">
        <f aca="false">H43*J43*SQRT(K43)</f>
        <v>3624.91346238817</v>
      </c>
      <c r="M43" s="29" t="n">
        <v>245</v>
      </c>
      <c r="N43" s="24" t="n">
        <v>0.220408163265306</v>
      </c>
      <c r="O43" s="3" t="s">
        <v>364</v>
      </c>
      <c r="P43" s="30" t="n">
        <f aca="false">IF(AND(ISNUMBER(M43),ISNUMBER(N43)),M43*N43/7,"")</f>
        <v>7.71428571428571</v>
      </c>
      <c r="Q43" s="23" t="n">
        <f aca="false">IF(ISNUMBER(P43),I43*P43,"")</f>
        <v>64210.6285714286</v>
      </c>
      <c r="R43" s="23" t="n">
        <f aca="false">IF(ISNUMBER(Q43),MAX(0,MIN(L43,Q43-I43*K43)),L43)</f>
        <v>3624.91346238817</v>
      </c>
      <c r="S43" s="23" t="n">
        <f aca="false">R43+I43*K43</f>
        <v>11948.5134623882</v>
      </c>
      <c r="T43" s="23" t="n">
        <v>36012</v>
      </c>
      <c r="U43" s="23" t="n">
        <v>0</v>
      </c>
      <c r="V43" s="23" t="n">
        <f aca="false">T43+U43</f>
        <v>36012</v>
      </c>
      <c r="W43" s="30" t="n">
        <f aca="false">IF(I43&gt;0,V43/I43,"")</f>
        <v>4.32649334422606</v>
      </c>
      <c r="X43" s="3" t="str">
        <f aca="false">IF(I43&lt;=0,"SIN FCST",IF(V43&lt;R43,"BAJO SS",IF(T43&lt;R43,"BAJO SS (XLIB CUBRE)",IF(V43&lt;S43,"BAJO P.REORDEN",IF(AND(ISNUMBER(Q43),V43&gt;Q43),"SOBRE MAX VENDIBLE","OK")))))</f>
        <v>OK</v>
      </c>
    </row>
    <row r="44" customFormat="false" ht="15" hidden="false" customHeight="false" outlineLevel="0" collapsed="false">
      <c r="A44" s="3" t="n">
        <v>30000478</v>
      </c>
      <c r="B44" s="3" t="s">
        <v>248</v>
      </c>
      <c r="C44" s="3" t="s">
        <v>129</v>
      </c>
      <c r="D44" s="3" t="s">
        <v>370</v>
      </c>
      <c r="E44" s="3" t="s">
        <v>363</v>
      </c>
      <c r="F44" s="3" t="str">
        <f aca="false">IFERROR(INDEX(ABC_XYZ!$L$5:$L$137,MATCH(A44,ABC_XYZ!$A$5:$A$137,0)),"SIN HIST")</f>
        <v>BX</v>
      </c>
      <c r="G44" s="24" t="n">
        <f aca="false">IF(LEFT(F44,1)="A",Parametros!$B$8,IF(LEFT(F44,1)="B",Parametros!$B$9,IF(LEFT(F44,1)="C",Parametros!$B$10,Parametros!$B$11)))</f>
        <v>0.95</v>
      </c>
      <c r="H44" s="27" t="n">
        <f aca="false">NORMSINV(G44)</f>
        <v>1.64485362695147</v>
      </c>
      <c r="I44" s="23" t="n">
        <v>7949.2</v>
      </c>
      <c r="J44" s="23" t="n">
        <f aca="false">IFERROR(INDEX(ABC_XYZ!$R$5:$R$137,MATCH(A44,ABC_XYZ!$A$5:$A$137,0)),I44*Parametros!$B$13)</f>
        <v>1251.10230060051</v>
      </c>
      <c r="K44" s="27" t="n">
        <f aca="false">IFERROR(VLOOKUP(C44,Parametros!$A$36:$B$41,2,FALSE()),Parametros!$B$12)</f>
        <v>1</v>
      </c>
      <c r="L44" s="23" t="n">
        <f aca="false">H44*J44*SQRT(K44)</f>
        <v>2057.88015683008</v>
      </c>
      <c r="M44" s="29" t="n">
        <v>250</v>
      </c>
      <c r="N44" s="24" t="n">
        <v>0.256</v>
      </c>
      <c r="O44" s="3" t="s">
        <v>364</v>
      </c>
      <c r="P44" s="30" t="n">
        <f aca="false">IF(AND(ISNUMBER(M44),ISNUMBER(N44)),M44*N44/7,"")</f>
        <v>9.14285714285714</v>
      </c>
      <c r="Q44" s="23" t="n">
        <f aca="false">IF(ISNUMBER(P44),I44*P44,"")</f>
        <v>72678.4</v>
      </c>
      <c r="R44" s="23" t="n">
        <f aca="false">IF(ISNUMBER(Q44),MAX(0,MIN(L44,Q44-I44*K44)),L44)</f>
        <v>2057.88015683008</v>
      </c>
      <c r="S44" s="23" t="n">
        <f aca="false">R44+I44*K44</f>
        <v>10007.0801568301</v>
      </c>
      <c r="T44" s="23" t="n">
        <v>18348</v>
      </c>
      <c r="U44" s="23" t="n">
        <v>0</v>
      </c>
      <c r="V44" s="23" t="n">
        <f aca="false">T44+U44</f>
        <v>18348</v>
      </c>
      <c r="W44" s="30" t="n">
        <f aca="false">IF(I44&gt;0,V44/I44,"")</f>
        <v>2.30815679565239</v>
      </c>
      <c r="X44" s="3" t="str">
        <f aca="false">IF(I44&lt;=0,"SIN FCST",IF(V44&lt;R44,"BAJO SS",IF(T44&lt;R44,"BAJO SS (XLIB CUBRE)",IF(V44&lt;S44,"BAJO P.REORDEN",IF(AND(ISNUMBER(Q44),V44&gt;Q44),"SOBRE MAX VENDIBLE","OK")))))</f>
        <v>OK</v>
      </c>
    </row>
    <row r="45" customFormat="false" ht="15" hidden="false" customHeight="false" outlineLevel="0" collapsed="false">
      <c r="A45" s="3" t="n">
        <v>30002230</v>
      </c>
      <c r="B45" s="3" t="s">
        <v>226</v>
      </c>
      <c r="C45" s="3" t="s">
        <v>126</v>
      </c>
      <c r="D45" s="3" t="s">
        <v>370</v>
      </c>
      <c r="E45" s="3"/>
      <c r="F45" s="3" t="str">
        <f aca="false">IFERROR(INDEX(ABC_XYZ!$L$5:$L$137,MATCH(A45,ABC_XYZ!$A$5:$A$137,0)),"SIN HIST")</f>
        <v>BY</v>
      </c>
      <c r="G45" s="24" t="n">
        <f aca="false">IF(LEFT(F45,1)="A",Parametros!$B$8,IF(LEFT(F45,1)="B",Parametros!$B$9,IF(LEFT(F45,1)="C",Parametros!$B$10,Parametros!$B$11)))</f>
        <v>0.95</v>
      </c>
      <c r="H45" s="27" t="n">
        <f aca="false">NORMSINV(G45)</f>
        <v>1.64485362695147</v>
      </c>
      <c r="I45" s="23" t="n">
        <v>7862.8</v>
      </c>
      <c r="J45" s="23" t="n">
        <f aca="false">IFERROR(INDEX(ABC_XYZ!$R$5:$R$137,MATCH(A45,ABC_XYZ!$A$5:$A$137,0)),I45*Parametros!$B$13)</f>
        <v>5174.95783367242</v>
      </c>
      <c r="K45" s="27" t="n">
        <f aca="false">IFERROR(VLOOKUP(C45,Parametros!$A$36:$B$41,2,FALSE()),Parametros!$B$12)</f>
        <v>1</v>
      </c>
      <c r="L45" s="23" t="n">
        <f aca="false">H45*J45*SQRT(K45)</f>
        <v>8512.04816203701</v>
      </c>
      <c r="M45" s="29" t="n">
        <v>365</v>
      </c>
      <c r="N45" s="24" t="n">
        <v>0.273972602739726</v>
      </c>
      <c r="O45" s="3" t="s">
        <v>364</v>
      </c>
      <c r="P45" s="30" t="n">
        <f aca="false">IF(AND(ISNUMBER(M45),ISNUMBER(N45)),M45*N45/7,"")</f>
        <v>14.2857142857143</v>
      </c>
      <c r="Q45" s="23" t="n">
        <f aca="false">IF(ISNUMBER(P45),I45*P45,"")</f>
        <v>112325.714285714</v>
      </c>
      <c r="R45" s="23" t="n">
        <f aca="false">IF(ISNUMBER(Q45),MAX(0,MIN(L45,Q45-I45*K45)),L45)</f>
        <v>8512.04816203701</v>
      </c>
      <c r="S45" s="23" t="n">
        <f aca="false">R45+I45*K45</f>
        <v>16374.848162037</v>
      </c>
      <c r="T45" s="23" t="n">
        <v>90890.2</v>
      </c>
      <c r="U45" s="23" t="n">
        <v>0</v>
      </c>
      <c r="V45" s="23" t="n">
        <f aca="false">T45+U45</f>
        <v>90890.2</v>
      </c>
      <c r="W45" s="30" t="n">
        <f aca="false">IF(I45&gt;0,V45/I45,"")</f>
        <v>11.559520781401</v>
      </c>
      <c r="X45" s="3" t="str">
        <f aca="false">IF(I45&lt;=0,"SIN FCST",IF(V45&lt;R45,"BAJO SS",IF(T45&lt;R45,"BAJO SS (XLIB CUBRE)",IF(V45&lt;S45,"BAJO P.REORDEN",IF(AND(ISNUMBER(Q45),V45&gt;Q45),"SOBRE MAX VENDIBLE","OK")))))</f>
        <v>OK</v>
      </c>
    </row>
    <row r="46" customFormat="false" ht="15" hidden="false" customHeight="false" outlineLevel="0" collapsed="false">
      <c r="A46" s="3" t="n">
        <v>30000354</v>
      </c>
      <c r="B46" s="3" t="s">
        <v>387</v>
      </c>
      <c r="C46" s="3" t="s">
        <v>129</v>
      </c>
      <c r="D46" s="3" t="s">
        <v>370</v>
      </c>
      <c r="E46" s="3" t="s">
        <v>363</v>
      </c>
      <c r="F46" s="3" t="str">
        <f aca="false">IFERROR(INDEX(ABC_XYZ!$L$5:$L$137,MATCH(A46,ABC_XYZ!$A$5:$A$137,0)),"SIN HIST")</f>
        <v>BX</v>
      </c>
      <c r="G46" s="24" t="n">
        <f aca="false">IF(LEFT(F46,1)="A",Parametros!$B$8,IF(LEFT(F46,1)="B",Parametros!$B$9,IF(LEFT(F46,1)="C",Parametros!$B$10,Parametros!$B$11)))</f>
        <v>0.95</v>
      </c>
      <c r="H46" s="27" t="n">
        <f aca="false">NORMSINV(G46)</f>
        <v>1.64485362695147</v>
      </c>
      <c r="I46" s="23" t="n">
        <v>7298</v>
      </c>
      <c r="J46" s="23" t="n">
        <f aca="false">IFERROR(INDEX(ABC_XYZ!$R$5:$R$137,MATCH(A46,ABC_XYZ!$A$5:$A$137,0)),I46*Parametros!$B$13)</f>
        <v>1342.50804004701</v>
      </c>
      <c r="K46" s="27" t="n">
        <f aca="false">IFERROR(VLOOKUP(C46,Parametros!$A$36:$B$41,2,FALSE()),Parametros!$B$12)</f>
        <v>1</v>
      </c>
      <c r="L46" s="23" t="n">
        <f aca="false">H46*J46*SQRT(K46)</f>
        <v>2208.22921888284</v>
      </c>
      <c r="M46" s="29" t="n">
        <v>189</v>
      </c>
      <c r="N46" s="24" t="n">
        <v>0.275132275132275</v>
      </c>
      <c r="O46" s="3" t="s">
        <v>364</v>
      </c>
      <c r="P46" s="30" t="n">
        <f aca="false">IF(AND(ISNUMBER(M46),ISNUMBER(N46)),M46*N46/7,"")</f>
        <v>7.42857142857143</v>
      </c>
      <c r="Q46" s="23" t="n">
        <f aca="false">IF(ISNUMBER(P46),I46*P46,"")</f>
        <v>54213.7142857143</v>
      </c>
      <c r="R46" s="23" t="n">
        <f aca="false">IF(ISNUMBER(Q46),MAX(0,MIN(L46,Q46-I46*K46)),L46)</f>
        <v>2208.22921888284</v>
      </c>
      <c r="S46" s="23" t="n">
        <f aca="false">R46+I46*K46</f>
        <v>9506.22921888284</v>
      </c>
      <c r="T46" s="23" t="n">
        <v>14226</v>
      </c>
      <c r="U46" s="23" t="n">
        <v>19008</v>
      </c>
      <c r="V46" s="23" t="n">
        <f aca="false">T46+U46</f>
        <v>33234</v>
      </c>
      <c r="W46" s="30" t="n">
        <f aca="false">IF(I46&gt;0,V46/I46,"")</f>
        <v>4.55385036996437</v>
      </c>
      <c r="X46" s="3" t="str">
        <f aca="false">IF(I46&lt;=0,"SIN FCST",IF(V46&lt;R46,"BAJO SS",IF(T46&lt;R46,"BAJO SS (XLIB CUBRE)",IF(V46&lt;S46,"BAJO P.REORDEN",IF(AND(ISNUMBER(Q46),V46&gt;Q46),"SOBRE MAX VENDIBLE","OK")))))</f>
        <v>OK</v>
      </c>
    </row>
    <row r="47" customFormat="false" ht="15" hidden="false" customHeight="false" outlineLevel="0" collapsed="false">
      <c r="A47" s="3" t="n">
        <v>30002272</v>
      </c>
      <c r="B47" s="3" t="s">
        <v>388</v>
      </c>
      <c r="C47" s="3" t="s">
        <v>129</v>
      </c>
      <c r="D47" s="3" t="s">
        <v>370</v>
      </c>
      <c r="E47" s="3"/>
      <c r="F47" s="3" t="str">
        <f aca="false">IFERROR(INDEX(ABC_XYZ!$L$5:$L$137,MATCH(A47,ABC_XYZ!$A$5:$A$137,0)),"SIN HIST")</f>
        <v>BX</v>
      </c>
      <c r="G47" s="24" t="n">
        <f aca="false">IF(LEFT(F47,1)="A",Parametros!$B$8,IF(LEFT(F47,1)="B",Parametros!$B$9,IF(LEFT(F47,1)="C",Parametros!$B$10,Parametros!$B$11)))</f>
        <v>0.95</v>
      </c>
      <c r="H47" s="27" t="n">
        <f aca="false">NORMSINV(G47)</f>
        <v>1.64485362695147</v>
      </c>
      <c r="I47" s="23" t="n">
        <v>7208.8</v>
      </c>
      <c r="J47" s="23" t="n">
        <f aca="false">IFERROR(INDEX(ABC_XYZ!$R$5:$R$137,MATCH(A47,ABC_XYZ!$A$5:$A$137,0)),I47*Parametros!$B$13)</f>
        <v>1756.63323609743</v>
      </c>
      <c r="K47" s="27" t="n">
        <f aca="false">IFERROR(VLOOKUP(C47,Parametros!$A$36:$B$41,2,FALSE()),Parametros!$B$12)</f>
        <v>1</v>
      </c>
      <c r="L47" s="23" t="n">
        <f aca="false">H47*J47*SQRT(K47)</f>
        <v>2889.40454961835</v>
      </c>
      <c r="M47" s="29"/>
      <c r="N47" s="24"/>
      <c r="O47" s="3"/>
      <c r="P47" s="30" t="str">
        <f aca="false">IF(AND(ISNUMBER(M47),ISNUMBER(N47)),M47*N47/7,"")</f>
        <v/>
      </c>
      <c r="Q47" s="23" t="str">
        <f aca="false">IF(ISNUMBER(P47),I47*P47,"")</f>
        <v/>
      </c>
      <c r="R47" s="23" t="n">
        <f aca="false">IF(ISNUMBER(Q47),MAX(0,MIN(L47,Q47-I47*K47)),L47)</f>
        <v>2889.40454961835</v>
      </c>
      <c r="S47" s="23" t="n">
        <f aca="false">R47+I47*K47</f>
        <v>10098.2045496184</v>
      </c>
      <c r="T47" s="23" t="n">
        <v>12828</v>
      </c>
      <c r="U47" s="23" t="n">
        <v>0</v>
      </c>
      <c r="V47" s="23" t="n">
        <f aca="false">T47+U47</f>
        <v>12828</v>
      </c>
      <c r="W47" s="30" t="n">
        <f aca="false">IF(I47&gt;0,V47/I47,"")</f>
        <v>1.77949173232716</v>
      </c>
      <c r="X47" s="3" t="str">
        <f aca="false">IF(I47&lt;=0,"SIN FCST",IF(V47&lt;R47,"BAJO SS",IF(T47&lt;R47,"BAJO SS (XLIB CUBRE)",IF(V47&lt;S47,"BAJO P.REORDEN",IF(AND(ISNUMBER(Q47),V47&gt;Q47),"SOBRE MAX VENDIBLE","OK")))))</f>
        <v>OK</v>
      </c>
    </row>
    <row r="48" customFormat="false" ht="15" hidden="false" customHeight="false" outlineLevel="0" collapsed="false">
      <c r="A48" s="3" t="n">
        <v>30001882</v>
      </c>
      <c r="B48" s="3" t="s">
        <v>243</v>
      </c>
      <c r="C48" s="3" t="s">
        <v>124</v>
      </c>
      <c r="D48" s="3" t="s">
        <v>370</v>
      </c>
      <c r="E48" s="3" t="s">
        <v>363</v>
      </c>
      <c r="F48" s="3" t="str">
        <f aca="false">IFERROR(INDEX(ABC_XYZ!$L$5:$L$137,MATCH(A48,ABC_XYZ!$A$5:$A$137,0)),"SIN HIST")</f>
        <v>BX</v>
      </c>
      <c r="G48" s="24" t="n">
        <f aca="false">IF(LEFT(F48,1)="A",Parametros!$B$8,IF(LEFT(F48,1)="B",Parametros!$B$9,IF(LEFT(F48,1)="C",Parametros!$B$10,Parametros!$B$11)))</f>
        <v>0.95</v>
      </c>
      <c r="H48" s="27" t="n">
        <f aca="false">NORMSINV(G48)</f>
        <v>1.64485362695147</v>
      </c>
      <c r="I48" s="23" t="n">
        <v>6766.1</v>
      </c>
      <c r="J48" s="23" t="n">
        <f aca="false">IFERROR(INDEX(ABC_XYZ!$R$5:$R$137,MATCH(A48,ABC_XYZ!$A$5:$A$137,0)),I48*Parametros!$B$13)</f>
        <v>1167.64682241633</v>
      </c>
      <c r="K48" s="27" t="n">
        <f aca="false">IFERROR(VLOOKUP(C48,Parametros!$A$36:$B$41,2,FALSE()),Parametros!$B$12)</f>
        <v>1</v>
      </c>
      <c r="L48" s="23" t="n">
        <f aca="false">H48*J48*SQRT(K48)</f>
        <v>1920.60811084986</v>
      </c>
      <c r="M48" s="29" t="n">
        <v>184</v>
      </c>
      <c r="N48" s="24" t="n">
        <v>0.190217391304348</v>
      </c>
      <c r="O48" s="3" t="s">
        <v>364</v>
      </c>
      <c r="P48" s="30" t="n">
        <f aca="false">IF(AND(ISNUMBER(M48),ISNUMBER(N48)),M48*N48/7,"")</f>
        <v>5</v>
      </c>
      <c r="Q48" s="23" t="n">
        <f aca="false">IF(ISNUMBER(P48),I48*P48,"")</f>
        <v>33830.5</v>
      </c>
      <c r="R48" s="23" t="n">
        <f aca="false">IF(ISNUMBER(Q48),MAX(0,MIN(L48,Q48-I48*K48)),L48)</f>
        <v>1920.60811084986</v>
      </c>
      <c r="S48" s="23" t="n">
        <f aca="false">R48+I48*K48</f>
        <v>8686.70811084986</v>
      </c>
      <c r="T48" s="23" t="n">
        <v>8196</v>
      </c>
      <c r="U48" s="23" t="n">
        <v>6870</v>
      </c>
      <c r="V48" s="23" t="n">
        <f aca="false">T48+U48</f>
        <v>15066</v>
      </c>
      <c r="W48" s="30" t="n">
        <f aca="false">IF(I48&gt;0,V48/I48,"")</f>
        <v>2.22668893454132</v>
      </c>
      <c r="X48" s="3" t="str">
        <f aca="false">IF(I48&lt;=0,"SIN FCST",IF(V48&lt;R48,"BAJO SS",IF(T48&lt;R48,"BAJO SS (XLIB CUBRE)",IF(V48&lt;S48,"BAJO P.REORDEN",IF(AND(ISNUMBER(Q48),V48&gt;Q48),"SOBRE MAX VENDIBLE","OK")))))</f>
        <v>OK</v>
      </c>
    </row>
    <row r="49" customFormat="false" ht="15" hidden="false" customHeight="false" outlineLevel="0" collapsed="false">
      <c r="A49" s="3" t="n">
        <v>30001423</v>
      </c>
      <c r="B49" s="3" t="s">
        <v>389</v>
      </c>
      <c r="C49" s="3" t="s">
        <v>129</v>
      </c>
      <c r="D49" s="3" t="s">
        <v>370</v>
      </c>
      <c r="E49" s="3" t="s">
        <v>363</v>
      </c>
      <c r="F49" s="3" t="str">
        <f aca="false">IFERROR(INDEX(ABC_XYZ!$L$5:$L$137,MATCH(A49,ABC_XYZ!$A$5:$A$137,0)),"SIN HIST")</f>
        <v>BX</v>
      </c>
      <c r="G49" s="24" t="n">
        <f aca="false">IF(LEFT(F49,1)="A",Parametros!$B$8,IF(LEFT(F49,1)="B",Parametros!$B$9,IF(LEFT(F49,1)="C",Parametros!$B$10,Parametros!$B$11)))</f>
        <v>0.95</v>
      </c>
      <c r="H49" s="27" t="n">
        <f aca="false">NORMSINV(G49)</f>
        <v>1.64485362695147</v>
      </c>
      <c r="I49" s="23" t="n">
        <v>6600.3</v>
      </c>
      <c r="J49" s="23" t="n">
        <f aca="false">IFERROR(INDEX(ABC_XYZ!$R$5:$R$137,MATCH(A49,ABC_XYZ!$A$5:$A$137,0)),I49*Parametros!$B$13)</f>
        <v>1926.06601948616</v>
      </c>
      <c r="K49" s="27" t="n">
        <f aca="false">IFERROR(VLOOKUP(C49,Parametros!$A$36:$B$41,2,FALSE()),Parametros!$B$12)</f>
        <v>1</v>
      </c>
      <c r="L49" s="23" t="n">
        <f aca="false">H49*J49*SQRT(K49)</f>
        <v>3168.0966778998</v>
      </c>
      <c r="M49" s="29" t="n">
        <v>189</v>
      </c>
      <c r="N49" s="24" t="n">
        <v>0.211640211640212</v>
      </c>
      <c r="O49" s="3" t="s">
        <v>364</v>
      </c>
      <c r="P49" s="30" t="n">
        <f aca="false">IF(AND(ISNUMBER(M49),ISNUMBER(N49)),M49*N49/7,"")</f>
        <v>5.71428571428571</v>
      </c>
      <c r="Q49" s="23" t="n">
        <f aca="false">IF(ISNUMBER(P49),I49*P49,"")</f>
        <v>37716</v>
      </c>
      <c r="R49" s="23" t="n">
        <f aca="false">IF(ISNUMBER(Q49),MAX(0,MIN(L49,Q49-I49*K49)),L49)</f>
        <v>3168.0966778998</v>
      </c>
      <c r="S49" s="23" t="n">
        <f aca="false">R49+I49*K49</f>
        <v>9768.3966778998</v>
      </c>
      <c r="T49" s="23" t="n">
        <v>21744</v>
      </c>
      <c r="U49" s="23" t="n">
        <v>0</v>
      </c>
      <c r="V49" s="23" t="n">
        <f aca="false">T49+U49</f>
        <v>21744</v>
      </c>
      <c r="W49" s="30" t="n">
        <f aca="false">IF(I49&gt;0,V49/I49,"")</f>
        <v>3.29439570928594</v>
      </c>
      <c r="X49" s="3" t="str">
        <f aca="false">IF(I49&lt;=0,"SIN FCST",IF(V49&lt;R49,"BAJO SS",IF(T49&lt;R49,"BAJO SS (XLIB CUBRE)",IF(V49&lt;S49,"BAJO P.REORDEN",IF(AND(ISNUMBER(Q49),V49&gt;Q49),"SOBRE MAX VENDIBLE","OK")))))</f>
        <v>OK</v>
      </c>
    </row>
    <row r="50" customFormat="false" ht="15" hidden="false" customHeight="false" outlineLevel="0" collapsed="false">
      <c r="A50" s="3" t="n">
        <v>30001574</v>
      </c>
      <c r="B50" s="3" t="s">
        <v>239</v>
      </c>
      <c r="C50" s="3" t="s">
        <v>129</v>
      </c>
      <c r="D50" s="3" t="s">
        <v>370</v>
      </c>
      <c r="E50" s="3" t="s">
        <v>363</v>
      </c>
      <c r="F50" s="3" t="str">
        <f aca="false">IFERROR(INDEX(ABC_XYZ!$L$5:$L$137,MATCH(A50,ABC_XYZ!$A$5:$A$137,0)),"SIN HIST")</f>
        <v>BX</v>
      </c>
      <c r="G50" s="24" t="n">
        <f aca="false">IF(LEFT(F50,1)="A",Parametros!$B$8,IF(LEFT(F50,1)="B",Parametros!$B$9,IF(LEFT(F50,1)="C",Parametros!$B$10,Parametros!$B$11)))</f>
        <v>0.95</v>
      </c>
      <c r="H50" s="27" t="n">
        <f aca="false">NORMSINV(G50)</f>
        <v>1.64485362695147</v>
      </c>
      <c r="I50" s="23" t="n">
        <v>6423.3</v>
      </c>
      <c r="J50" s="23" t="n">
        <f aca="false">IFERROR(INDEX(ABC_XYZ!$R$5:$R$137,MATCH(A50,ABC_XYZ!$A$5:$A$137,0)),I50*Parametros!$B$13)</f>
        <v>2277.13643842327</v>
      </c>
      <c r="K50" s="27" t="n">
        <f aca="false">IFERROR(VLOOKUP(C50,Parametros!$A$36:$B$41,2,FALSE()),Parametros!$B$12)</f>
        <v>1</v>
      </c>
      <c r="L50" s="23" t="n">
        <f aca="false">H50*J50*SQRT(K50)</f>
        <v>3745.55612980386</v>
      </c>
      <c r="M50" s="29" t="n">
        <v>245</v>
      </c>
      <c r="N50" s="24" t="n">
        <v>0.273469387755102</v>
      </c>
      <c r="O50" s="3" t="s">
        <v>364</v>
      </c>
      <c r="P50" s="30" t="n">
        <f aca="false">IF(AND(ISNUMBER(M50),ISNUMBER(N50)),M50*N50/7,"")</f>
        <v>9.57142857142857</v>
      </c>
      <c r="Q50" s="23" t="n">
        <f aca="false">IF(ISNUMBER(P50),I50*P50,"")</f>
        <v>61480.1571428571</v>
      </c>
      <c r="R50" s="23" t="n">
        <f aca="false">IF(ISNUMBER(Q50),MAX(0,MIN(L50,Q50-I50*K50)),L50)</f>
        <v>3745.55612980386</v>
      </c>
      <c r="S50" s="23" t="n">
        <f aca="false">R50+I50*K50</f>
        <v>10168.8561298039</v>
      </c>
      <c r="T50" s="23" t="n">
        <v>16560</v>
      </c>
      <c r="U50" s="23" t="n">
        <v>0</v>
      </c>
      <c r="V50" s="23" t="n">
        <f aca="false">T50+U50</f>
        <v>16560</v>
      </c>
      <c r="W50" s="30" t="n">
        <f aca="false">IF(I50&gt;0,V50/I50,"")</f>
        <v>2.57811405352389</v>
      </c>
      <c r="X50" s="3" t="str">
        <f aca="false">IF(I50&lt;=0,"SIN FCST",IF(V50&lt;R50,"BAJO SS",IF(T50&lt;R50,"BAJO SS (XLIB CUBRE)",IF(V50&lt;S50,"BAJO P.REORDEN",IF(AND(ISNUMBER(Q50),V50&gt;Q50),"SOBRE MAX VENDIBLE","OK")))))</f>
        <v>OK</v>
      </c>
    </row>
    <row r="51" customFormat="false" ht="15" hidden="false" customHeight="false" outlineLevel="0" collapsed="false">
      <c r="A51" s="3" t="n">
        <v>30001923</v>
      </c>
      <c r="B51" s="3" t="s">
        <v>390</v>
      </c>
      <c r="C51" s="3" t="s">
        <v>126</v>
      </c>
      <c r="D51" s="3" t="s">
        <v>370</v>
      </c>
      <c r="E51" s="3" t="s">
        <v>363</v>
      </c>
      <c r="F51" s="3" t="str">
        <f aca="false">IFERROR(INDEX(ABC_XYZ!$L$5:$L$137,MATCH(A51,ABC_XYZ!$A$5:$A$137,0)),"SIN HIST")</f>
        <v>BY</v>
      </c>
      <c r="G51" s="24" t="n">
        <f aca="false">IF(LEFT(F51,1)="A",Parametros!$B$8,IF(LEFT(F51,1)="B",Parametros!$B$9,IF(LEFT(F51,1)="C",Parametros!$B$10,Parametros!$B$11)))</f>
        <v>0.95</v>
      </c>
      <c r="H51" s="27" t="n">
        <f aca="false">NORMSINV(G51)</f>
        <v>1.64485362695147</v>
      </c>
      <c r="I51" s="23" t="n">
        <v>6131.5</v>
      </c>
      <c r="J51" s="23" t="n">
        <f aca="false">IFERROR(INDEX(ABC_XYZ!$R$5:$R$137,MATCH(A51,ABC_XYZ!$A$5:$A$137,0)),I51*Parametros!$B$13)</f>
        <v>1454.05241822476</v>
      </c>
      <c r="K51" s="27" t="n">
        <f aca="false">IFERROR(VLOOKUP(C51,Parametros!$A$36:$B$41,2,FALSE()),Parametros!$B$12)</f>
        <v>1</v>
      </c>
      <c r="L51" s="23" t="n">
        <f aca="false">H51*J51*SQRT(K51)</f>
        <v>2391.70339389455</v>
      </c>
      <c r="M51" s="29" t="n">
        <v>184</v>
      </c>
      <c r="N51" s="24" t="n">
        <v>0.190217391304348</v>
      </c>
      <c r="O51" s="3" t="s">
        <v>364</v>
      </c>
      <c r="P51" s="30" t="n">
        <f aca="false">IF(AND(ISNUMBER(M51),ISNUMBER(N51)),M51*N51/7,"")</f>
        <v>5</v>
      </c>
      <c r="Q51" s="23" t="n">
        <f aca="false">IF(ISNUMBER(P51),I51*P51,"")</f>
        <v>30657.5</v>
      </c>
      <c r="R51" s="23" t="n">
        <f aca="false">IF(ISNUMBER(Q51),MAX(0,MIN(L51,Q51-I51*K51)),L51)</f>
        <v>2391.70339389455</v>
      </c>
      <c r="S51" s="23" t="n">
        <f aca="false">R51+I51*K51</f>
        <v>8523.20339389456</v>
      </c>
      <c r="T51" s="23" t="n">
        <v>10602</v>
      </c>
      <c r="U51" s="23" t="n">
        <v>864</v>
      </c>
      <c r="V51" s="23" t="n">
        <f aca="false">T51+U51</f>
        <v>11466</v>
      </c>
      <c r="W51" s="30" t="n">
        <f aca="false">IF(I51&gt;0,V51/I51,"")</f>
        <v>1.87001549376172</v>
      </c>
      <c r="X51" s="3" t="str">
        <f aca="false">IF(I51&lt;=0,"SIN FCST",IF(V51&lt;R51,"BAJO SS",IF(T51&lt;R51,"BAJO SS (XLIB CUBRE)",IF(V51&lt;S51,"BAJO P.REORDEN",IF(AND(ISNUMBER(Q51),V51&gt;Q51),"SOBRE MAX VENDIBLE","OK")))))</f>
        <v>OK</v>
      </c>
    </row>
    <row r="52" customFormat="false" ht="15" hidden="false" customHeight="false" outlineLevel="0" collapsed="false">
      <c r="A52" s="3" t="n">
        <v>30001895</v>
      </c>
      <c r="B52" s="3" t="s">
        <v>391</v>
      </c>
      <c r="C52" s="3" t="s">
        <v>128</v>
      </c>
      <c r="D52" s="3" t="s">
        <v>362</v>
      </c>
      <c r="E52" s="3" t="s">
        <v>363</v>
      </c>
      <c r="F52" s="3" t="str">
        <f aca="false">IFERROR(INDEX(ABC_XYZ!$L$5:$L$137,MATCH(A52,ABC_XYZ!$A$5:$A$137,0)),"SIN HIST")</f>
        <v>BY</v>
      </c>
      <c r="G52" s="24" t="n">
        <f aca="false">IF(LEFT(F52,1)="A",Parametros!$B$8,IF(LEFT(F52,1)="B",Parametros!$B$9,IF(LEFT(F52,1)="C",Parametros!$B$10,Parametros!$B$11)))</f>
        <v>0.95</v>
      </c>
      <c r="H52" s="27" t="n">
        <f aca="false">NORMSINV(G52)</f>
        <v>1.64485362695147</v>
      </c>
      <c r="I52" s="23" t="n">
        <v>6115.9</v>
      </c>
      <c r="J52" s="23" t="n">
        <f aca="false">IFERROR(INDEX(ABC_XYZ!$R$5:$R$137,MATCH(A52,ABC_XYZ!$A$5:$A$137,0)),I52*Parametros!$B$13)</f>
        <v>2641.02049592992</v>
      </c>
      <c r="K52" s="27" t="n">
        <f aca="false">IFERROR(VLOOKUP(C52,Parametros!$A$36:$B$41,2,FALSE()),Parametros!$B$12)</f>
        <v>1</v>
      </c>
      <c r="L52" s="23" t="n">
        <f aca="false">H52*J52*SQRT(K52)</f>
        <v>4344.0921415835</v>
      </c>
      <c r="M52" s="29" t="n">
        <v>548</v>
      </c>
      <c r="N52" s="24" t="n">
        <v>0.197080291970803</v>
      </c>
      <c r="O52" s="3" t="s">
        <v>364</v>
      </c>
      <c r="P52" s="30" t="n">
        <f aca="false">IF(AND(ISNUMBER(M52),ISNUMBER(N52)),M52*N52/7,"")</f>
        <v>15.4285714285714</v>
      </c>
      <c r="Q52" s="23" t="n">
        <f aca="false">IF(ISNUMBER(P52),I52*P52,"")</f>
        <v>94359.6</v>
      </c>
      <c r="R52" s="23" t="n">
        <f aca="false">IF(ISNUMBER(Q52),MAX(0,MIN(L52,Q52-I52*K52)),L52)</f>
        <v>4344.0921415835</v>
      </c>
      <c r="S52" s="23" t="n">
        <f aca="false">R52+I52*K52</f>
        <v>10459.9921415835</v>
      </c>
      <c r="T52" s="23" t="n">
        <v>28971.2</v>
      </c>
      <c r="U52" s="23" t="n">
        <v>0</v>
      </c>
      <c r="V52" s="23" t="n">
        <f aca="false">T52+U52</f>
        <v>28971.2</v>
      </c>
      <c r="W52" s="30" t="n">
        <f aca="false">IF(I52&gt;0,V52/I52,"")</f>
        <v>4.73702970944587</v>
      </c>
      <c r="X52" s="3" t="str">
        <f aca="false">IF(I52&lt;=0,"SIN FCST",IF(V52&lt;R52,"BAJO SS",IF(T52&lt;R52,"BAJO SS (XLIB CUBRE)",IF(V52&lt;S52,"BAJO P.REORDEN",IF(AND(ISNUMBER(Q52),V52&gt;Q52),"SOBRE MAX VENDIBLE","OK")))))</f>
        <v>OK</v>
      </c>
    </row>
    <row r="53" customFormat="false" ht="15" hidden="false" customHeight="false" outlineLevel="0" collapsed="false">
      <c r="A53" s="3" t="n">
        <v>30000328</v>
      </c>
      <c r="B53" s="3" t="s">
        <v>392</v>
      </c>
      <c r="C53" s="3" t="s">
        <v>129</v>
      </c>
      <c r="D53" s="3" t="s">
        <v>370</v>
      </c>
      <c r="E53" s="3" t="s">
        <v>363</v>
      </c>
      <c r="F53" s="3" t="str">
        <f aca="false">IFERROR(INDEX(ABC_XYZ!$L$5:$L$137,MATCH(A53,ABC_XYZ!$A$5:$A$137,0)),"SIN HIST")</f>
        <v>BX</v>
      </c>
      <c r="G53" s="24" t="n">
        <f aca="false">IF(LEFT(F53,1)="A",Parametros!$B$8,IF(LEFT(F53,1)="B",Parametros!$B$9,IF(LEFT(F53,1)="C",Parametros!$B$10,Parametros!$B$11)))</f>
        <v>0.95</v>
      </c>
      <c r="H53" s="27" t="n">
        <f aca="false">NORMSINV(G53)</f>
        <v>1.64485362695147</v>
      </c>
      <c r="I53" s="23" t="n">
        <v>6114.1</v>
      </c>
      <c r="J53" s="23" t="n">
        <f aca="false">IFERROR(INDEX(ABC_XYZ!$R$5:$R$137,MATCH(A53,ABC_XYZ!$A$5:$A$137,0)),I53*Parametros!$B$13)</f>
        <v>2075.56683362322</v>
      </c>
      <c r="K53" s="27" t="n">
        <f aca="false">IFERROR(VLOOKUP(C53,Parametros!$A$36:$B$41,2,FALSE()),Parametros!$B$12)</f>
        <v>1</v>
      </c>
      <c r="L53" s="23" t="n">
        <f aca="false">H53*J53*SQRT(K53)</f>
        <v>3414.00363426534</v>
      </c>
      <c r="M53" s="29" t="n">
        <v>189</v>
      </c>
      <c r="N53" s="24" t="n">
        <v>0.259259259259259</v>
      </c>
      <c r="O53" s="3" t="s">
        <v>364</v>
      </c>
      <c r="P53" s="30" t="n">
        <f aca="false">IF(AND(ISNUMBER(M53),ISNUMBER(N53)),M53*N53/7,"")</f>
        <v>7</v>
      </c>
      <c r="Q53" s="23" t="n">
        <f aca="false">IF(ISNUMBER(P53),I53*P53,"")</f>
        <v>42798.7</v>
      </c>
      <c r="R53" s="23" t="n">
        <f aca="false">IF(ISNUMBER(Q53),MAX(0,MIN(L53,Q53-I53*K53)),L53)</f>
        <v>3414.00363426534</v>
      </c>
      <c r="S53" s="23" t="n">
        <f aca="false">R53+I53*K53</f>
        <v>9528.10363426534</v>
      </c>
      <c r="T53" s="23" t="n">
        <v>14136</v>
      </c>
      <c r="U53" s="23" t="n">
        <v>0</v>
      </c>
      <c r="V53" s="23" t="n">
        <f aca="false">T53+U53</f>
        <v>14136</v>
      </c>
      <c r="W53" s="30" t="n">
        <f aca="false">IF(I53&gt;0,V53/I53,"")</f>
        <v>2.31203284211904</v>
      </c>
      <c r="X53" s="3" t="str">
        <f aca="false">IF(I53&lt;=0,"SIN FCST",IF(V53&lt;R53,"BAJO SS",IF(T53&lt;R53,"BAJO SS (XLIB CUBRE)",IF(V53&lt;S53,"BAJO P.REORDEN",IF(AND(ISNUMBER(Q53),V53&gt;Q53),"SOBRE MAX VENDIBLE","OK")))))</f>
        <v>OK</v>
      </c>
    </row>
    <row r="54" customFormat="false" ht="15" hidden="false" customHeight="false" outlineLevel="0" collapsed="false">
      <c r="A54" s="3" t="n">
        <v>30001487</v>
      </c>
      <c r="B54" s="3" t="s">
        <v>393</v>
      </c>
      <c r="C54" s="3" t="s">
        <v>126</v>
      </c>
      <c r="D54" s="3" t="s">
        <v>370</v>
      </c>
      <c r="E54" s="3" t="s">
        <v>363</v>
      </c>
      <c r="F54" s="3" t="str">
        <f aca="false">IFERROR(INDEX(ABC_XYZ!$L$5:$L$137,MATCH(A54,ABC_XYZ!$A$5:$A$137,0)),"SIN HIST")</f>
        <v>BX</v>
      </c>
      <c r="G54" s="24" t="n">
        <f aca="false">IF(LEFT(F54,1)="A",Parametros!$B$8,IF(LEFT(F54,1)="B",Parametros!$B$9,IF(LEFT(F54,1)="C",Parametros!$B$10,Parametros!$B$11)))</f>
        <v>0.95</v>
      </c>
      <c r="H54" s="27" t="n">
        <f aca="false">NORMSINV(G54)</f>
        <v>1.64485362695147</v>
      </c>
      <c r="I54" s="23" t="n">
        <v>6040.3</v>
      </c>
      <c r="J54" s="23" t="n">
        <f aca="false">IFERROR(INDEX(ABC_XYZ!$R$5:$R$137,MATCH(A54,ABC_XYZ!$A$5:$A$137,0)),I54*Parametros!$B$13)</f>
        <v>2216.43960029778</v>
      </c>
      <c r="K54" s="27" t="n">
        <f aca="false">IFERROR(VLOOKUP(C54,Parametros!$A$36:$B$41,2,FALSE()),Parametros!$B$12)</f>
        <v>1</v>
      </c>
      <c r="L54" s="23" t="n">
        <f aca="false">H54*J54*SQRT(K54)</f>
        <v>3645.71871546868</v>
      </c>
      <c r="M54" s="29" t="n">
        <v>180</v>
      </c>
      <c r="N54" s="24" t="n">
        <v>0.311111111111111</v>
      </c>
      <c r="O54" s="3" t="s">
        <v>384</v>
      </c>
      <c r="P54" s="30" t="n">
        <f aca="false">IF(AND(ISNUMBER(M54),ISNUMBER(N54)),M54*N54/7,"")</f>
        <v>8</v>
      </c>
      <c r="Q54" s="23" t="n">
        <f aca="false">IF(ISNUMBER(P54),I54*P54,"")</f>
        <v>48322.4</v>
      </c>
      <c r="R54" s="23" t="n">
        <f aca="false">IF(ISNUMBER(Q54),MAX(0,MIN(L54,Q54-I54*K54)),L54)</f>
        <v>3645.71871546868</v>
      </c>
      <c r="S54" s="23" t="n">
        <f aca="false">R54+I54*K54</f>
        <v>9686.01871546868</v>
      </c>
      <c r="T54" s="23" t="n">
        <v>11316</v>
      </c>
      <c r="U54" s="23" t="n">
        <v>13164</v>
      </c>
      <c r="V54" s="23" t="n">
        <f aca="false">T54+U54</f>
        <v>24480</v>
      </c>
      <c r="W54" s="30" t="n">
        <f aca="false">IF(I54&gt;0,V54/I54,"")</f>
        <v>4.0527788354883</v>
      </c>
      <c r="X54" s="3" t="str">
        <f aca="false">IF(I54&lt;=0,"SIN FCST",IF(V54&lt;R54,"BAJO SS",IF(T54&lt;R54,"BAJO SS (XLIB CUBRE)",IF(V54&lt;S54,"BAJO P.REORDEN",IF(AND(ISNUMBER(Q54),V54&gt;Q54),"SOBRE MAX VENDIBLE","OK")))))</f>
        <v>OK</v>
      </c>
    </row>
    <row r="55" customFormat="false" ht="15" hidden="false" customHeight="false" outlineLevel="0" collapsed="false">
      <c r="A55" s="3" t="n">
        <v>30002098</v>
      </c>
      <c r="B55" s="3" t="s">
        <v>394</v>
      </c>
      <c r="C55" s="3" t="s">
        <v>130</v>
      </c>
      <c r="D55" s="3" t="s">
        <v>362</v>
      </c>
      <c r="E55" s="3" t="s">
        <v>363</v>
      </c>
      <c r="F55" s="3" t="str">
        <f aca="false">IFERROR(INDEX(ABC_XYZ!$L$5:$L$137,MATCH(A55,ABC_XYZ!$A$5:$A$137,0)),"SIN HIST")</f>
        <v>CX</v>
      </c>
      <c r="G55" s="24" t="n">
        <f aca="false">IF(LEFT(F55,1)="A",Parametros!$B$8,IF(LEFT(F55,1)="B",Parametros!$B$9,IF(LEFT(F55,1)="C",Parametros!$B$10,Parametros!$B$11)))</f>
        <v>0.9</v>
      </c>
      <c r="H55" s="27" t="n">
        <f aca="false">NORMSINV(G55)</f>
        <v>1.2815515655446</v>
      </c>
      <c r="I55" s="23" t="n">
        <v>5627.5</v>
      </c>
      <c r="J55" s="23" t="n">
        <f aca="false">IFERROR(INDEX(ABC_XYZ!$R$5:$R$137,MATCH(A55,ABC_XYZ!$A$5:$A$137,0)),I55*Parametros!$B$13)</f>
        <v>1323.87552952231</v>
      </c>
      <c r="K55" s="27" t="n">
        <f aca="false">IFERROR(VLOOKUP(C55,Parametros!$A$36:$B$41,2,FALSE()),Parametros!$B$12)</f>
        <v>1</v>
      </c>
      <c r="L55" s="23" t="n">
        <f aca="false">H55*J55*SQRT(K55)</f>
        <v>1696.61475744551</v>
      </c>
      <c r="M55" s="29" t="n">
        <v>184</v>
      </c>
      <c r="N55" s="24" t="n">
        <v>0.190217391304348</v>
      </c>
      <c r="O55" s="3" t="s">
        <v>364</v>
      </c>
      <c r="P55" s="30" t="n">
        <f aca="false">IF(AND(ISNUMBER(M55),ISNUMBER(N55)),M55*N55/7,"")</f>
        <v>5</v>
      </c>
      <c r="Q55" s="23" t="n">
        <f aca="false">IF(ISNUMBER(P55),I55*P55,"")</f>
        <v>28137.5</v>
      </c>
      <c r="R55" s="23" t="n">
        <f aca="false">IF(ISNUMBER(Q55),MAX(0,MIN(L55,Q55-I55*K55)),L55)</f>
        <v>1696.61475744551</v>
      </c>
      <c r="S55" s="23" t="n">
        <f aca="false">R55+I55*K55</f>
        <v>7324.11475744551</v>
      </c>
      <c r="T55" s="23" t="n">
        <v>16623</v>
      </c>
      <c r="U55" s="23" t="n">
        <v>0</v>
      </c>
      <c r="V55" s="23" t="n">
        <f aca="false">T55+U55</f>
        <v>16623</v>
      </c>
      <c r="W55" s="30" t="n">
        <f aca="false">IF(I55&gt;0,V55/I55,"")</f>
        <v>2.95388716126166</v>
      </c>
      <c r="X55" s="3" t="str">
        <f aca="false">IF(I55&lt;=0,"SIN FCST",IF(V55&lt;R55,"BAJO SS",IF(T55&lt;R55,"BAJO SS (XLIB CUBRE)",IF(V55&lt;S55,"BAJO P.REORDEN",IF(AND(ISNUMBER(Q55),V55&gt;Q55),"SOBRE MAX VENDIBLE","OK")))))</f>
        <v>OK</v>
      </c>
    </row>
    <row r="56" customFormat="false" ht="15" hidden="false" customHeight="false" outlineLevel="0" collapsed="false">
      <c r="A56" s="3" t="n">
        <v>30001715</v>
      </c>
      <c r="B56" s="3" t="s">
        <v>395</v>
      </c>
      <c r="C56" s="3" t="s">
        <v>128</v>
      </c>
      <c r="D56" s="3" t="s">
        <v>362</v>
      </c>
      <c r="E56" s="3" t="s">
        <v>363</v>
      </c>
      <c r="F56" s="3" t="str">
        <f aca="false">IFERROR(INDEX(ABC_XYZ!$L$5:$L$137,MATCH(A56,ABC_XYZ!$A$5:$A$137,0)),"SIN HIST")</f>
        <v>BX</v>
      </c>
      <c r="G56" s="24" t="n">
        <f aca="false">IF(LEFT(F56,1)="A",Parametros!$B$8,IF(LEFT(F56,1)="B",Parametros!$B$9,IF(LEFT(F56,1)="C",Parametros!$B$10,Parametros!$B$11)))</f>
        <v>0.95</v>
      </c>
      <c r="H56" s="27" t="n">
        <f aca="false">NORMSINV(G56)</f>
        <v>1.64485362695147</v>
      </c>
      <c r="I56" s="23" t="n">
        <v>5465</v>
      </c>
      <c r="J56" s="23" t="n">
        <f aca="false">IFERROR(INDEX(ABC_XYZ!$R$5:$R$137,MATCH(A56,ABC_XYZ!$A$5:$A$137,0)),I56*Parametros!$B$13)</f>
        <v>5969.53507635273</v>
      </c>
      <c r="K56" s="27" t="n">
        <f aca="false">IFERROR(VLOOKUP(C56,Parametros!$A$36:$B$41,2,FALSE()),Parametros!$B$12)</f>
        <v>1</v>
      </c>
      <c r="L56" s="23" t="n">
        <f aca="false">H56*J56*SQRT(K56)</f>
        <v>9819.01142155282</v>
      </c>
      <c r="M56" s="29" t="n">
        <v>365</v>
      </c>
      <c r="N56" s="24" t="n">
        <v>0.194520547945206</v>
      </c>
      <c r="O56" s="3" t="s">
        <v>364</v>
      </c>
      <c r="P56" s="30" t="n">
        <f aca="false">IF(AND(ISNUMBER(M56),ISNUMBER(N56)),M56*N56/7,"")</f>
        <v>10.1428571428571</v>
      </c>
      <c r="Q56" s="23" t="n">
        <f aca="false">IF(ISNUMBER(P56),I56*P56,"")</f>
        <v>55430.7142857143</v>
      </c>
      <c r="R56" s="23" t="n">
        <f aca="false">IF(ISNUMBER(Q56),MAX(0,MIN(L56,Q56-I56*K56)),L56)</f>
        <v>9819.01142155282</v>
      </c>
      <c r="S56" s="23" t="n">
        <f aca="false">R56+I56*K56</f>
        <v>15284.0114215528</v>
      </c>
      <c r="T56" s="23" t="n">
        <v>28933.2</v>
      </c>
      <c r="U56" s="23" t="n">
        <v>0</v>
      </c>
      <c r="V56" s="23" t="n">
        <f aca="false">T56+U56</f>
        <v>28933.2</v>
      </c>
      <c r="W56" s="30" t="n">
        <f aca="false">IF(I56&gt;0,V56/I56,"")</f>
        <v>5.29427264409881</v>
      </c>
      <c r="X56" s="3" t="str">
        <f aca="false">IF(I56&lt;=0,"SIN FCST",IF(V56&lt;R56,"BAJO SS",IF(T56&lt;R56,"BAJO SS (XLIB CUBRE)",IF(V56&lt;S56,"BAJO P.REORDEN",IF(AND(ISNUMBER(Q56),V56&gt;Q56),"SOBRE MAX VENDIBLE","OK")))))</f>
        <v>OK</v>
      </c>
    </row>
    <row r="57" customFormat="false" ht="15" hidden="false" customHeight="false" outlineLevel="0" collapsed="false">
      <c r="A57" s="3" t="n">
        <v>30000321</v>
      </c>
      <c r="B57" s="3" t="s">
        <v>396</v>
      </c>
      <c r="C57" s="3" t="s">
        <v>128</v>
      </c>
      <c r="D57" s="3" t="s">
        <v>362</v>
      </c>
      <c r="E57" s="3" t="s">
        <v>363</v>
      </c>
      <c r="F57" s="3" t="str">
        <f aca="false">IFERROR(INDEX(ABC_XYZ!$L$5:$L$137,MATCH(A57,ABC_XYZ!$A$5:$A$137,0)),"SIN HIST")</f>
        <v>BX</v>
      </c>
      <c r="G57" s="24" t="n">
        <f aca="false">IF(LEFT(F57,1)="A",Parametros!$B$8,IF(LEFT(F57,1)="B",Parametros!$B$9,IF(LEFT(F57,1)="C",Parametros!$B$10,Parametros!$B$11)))</f>
        <v>0.95</v>
      </c>
      <c r="H57" s="27" t="n">
        <f aca="false">NORMSINV(G57)</f>
        <v>1.64485362695147</v>
      </c>
      <c r="I57" s="23" t="n">
        <v>5374.8</v>
      </c>
      <c r="J57" s="23" t="n">
        <f aca="false">IFERROR(INDEX(ABC_XYZ!$R$5:$R$137,MATCH(A57,ABC_XYZ!$A$5:$A$137,0)),I57*Parametros!$B$13)</f>
        <v>689.510700628407</v>
      </c>
      <c r="K57" s="27" t="n">
        <f aca="false">IFERROR(VLOOKUP(C57,Parametros!$A$36:$B$41,2,FALSE()),Parametros!$B$12)</f>
        <v>1</v>
      </c>
      <c r="L57" s="23" t="n">
        <f aca="false">H57*J57*SQRT(K57)</f>
        <v>1134.14417675049</v>
      </c>
      <c r="M57" s="29" t="n">
        <v>365</v>
      </c>
      <c r="N57" s="24" t="n">
        <v>0.32054794520548</v>
      </c>
      <c r="O57" s="3" t="s">
        <v>371</v>
      </c>
      <c r="P57" s="30" t="n">
        <f aca="false">IF(AND(ISNUMBER(M57),ISNUMBER(N57)),M57*N57/7,"")</f>
        <v>16.7142857142857</v>
      </c>
      <c r="Q57" s="23" t="n">
        <f aca="false">IF(ISNUMBER(P57),I57*P57,"")</f>
        <v>89835.9428571429</v>
      </c>
      <c r="R57" s="23" t="n">
        <f aca="false">IF(ISNUMBER(Q57),MAX(0,MIN(L57,Q57-I57*K57)),L57)</f>
        <v>1134.14417675049</v>
      </c>
      <c r="S57" s="23" t="n">
        <f aca="false">R57+I57*K57</f>
        <v>6508.94417675049</v>
      </c>
      <c r="T57" s="23" t="n">
        <v>16928</v>
      </c>
      <c r="U57" s="23" t="n">
        <v>0</v>
      </c>
      <c r="V57" s="23" t="n">
        <f aca="false">T57+U57</f>
        <v>16928</v>
      </c>
      <c r="W57" s="30" t="n">
        <f aca="false">IF(I57&gt;0,V57/I57,"")</f>
        <v>3.14951254000149</v>
      </c>
      <c r="X57" s="3" t="str">
        <f aca="false">IF(I57&lt;=0,"SIN FCST",IF(V57&lt;R57,"BAJO SS",IF(T57&lt;R57,"BAJO SS (XLIB CUBRE)",IF(V57&lt;S57,"BAJO P.REORDEN",IF(AND(ISNUMBER(Q57),V57&gt;Q57),"SOBRE MAX VENDIBLE","OK")))))</f>
        <v>OK</v>
      </c>
    </row>
    <row r="58" customFormat="false" ht="15" hidden="false" customHeight="false" outlineLevel="0" collapsed="false">
      <c r="A58" s="3" t="n">
        <v>30001410</v>
      </c>
      <c r="B58" s="3" t="s">
        <v>397</v>
      </c>
      <c r="C58" s="3" t="s">
        <v>128</v>
      </c>
      <c r="D58" s="3" t="s">
        <v>362</v>
      </c>
      <c r="E58" s="3" t="s">
        <v>363</v>
      </c>
      <c r="F58" s="3" t="str">
        <f aca="false">IFERROR(INDEX(ABC_XYZ!$L$5:$L$137,MATCH(A58,ABC_XYZ!$A$5:$A$137,0)),"SIN HIST")</f>
        <v>BX</v>
      </c>
      <c r="G58" s="24" t="n">
        <f aca="false">IF(LEFT(F58,1)="A",Parametros!$B$8,IF(LEFT(F58,1)="B",Parametros!$B$9,IF(LEFT(F58,1)="C",Parametros!$B$10,Parametros!$B$11)))</f>
        <v>0.95</v>
      </c>
      <c r="H58" s="27" t="n">
        <f aca="false">NORMSINV(G58)</f>
        <v>1.64485362695147</v>
      </c>
      <c r="I58" s="23" t="n">
        <v>5262.9</v>
      </c>
      <c r="J58" s="23" t="n">
        <f aca="false">IFERROR(INDEX(ABC_XYZ!$R$5:$R$137,MATCH(A58,ABC_XYZ!$A$5:$A$137,0)),I58*Parametros!$B$13)</f>
        <v>2450.59795981961</v>
      </c>
      <c r="K58" s="27" t="n">
        <f aca="false">IFERROR(VLOOKUP(C58,Parametros!$A$36:$B$41,2,FALSE()),Parametros!$B$12)</f>
        <v>1</v>
      </c>
      <c r="L58" s="23" t="n">
        <f aca="false">H58*J58*SQRT(K58)</f>
        <v>4030.87494240916</v>
      </c>
      <c r="M58" s="29" t="n">
        <v>365</v>
      </c>
      <c r="N58" s="24" t="n">
        <v>0.194520547945206</v>
      </c>
      <c r="O58" s="3" t="s">
        <v>364</v>
      </c>
      <c r="P58" s="30" t="n">
        <f aca="false">IF(AND(ISNUMBER(M58),ISNUMBER(N58)),M58*N58/7,"")</f>
        <v>10.1428571428571</v>
      </c>
      <c r="Q58" s="23" t="n">
        <f aca="false">IF(ISNUMBER(P58),I58*P58,"")</f>
        <v>53380.8428571429</v>
      </c>
      <c r="R58" s="23" t="n">
        <f aca="false">IF(ISNUMBER(Q58),MAX(0,MIN(L58,Q58-I58*K58)),L58)</f>
        <v>4030.87494240916</v>
      </c>
      <c r="S58" s="23" t="n">
        <f aca="false">R58+I58*K58</f>
        <v>9293.77494240916</v>
      </c>
      <c r="T58" s="23" t="n">
        <v>26853.1</v>
      </c>
      <c r="U58" s="23" t="n">
        <v>5909.8</v>
      </c>
      <c r="V58" s="23" t="n">
        <f aca="false">T58+U58</f>
        <v>32762.9</v>
      </c>
      <c r="W58" s="30" t="n">
        <f aca="false">IF(I58&gt;0,V58/I58,"")</f>
        <v>6.22525603754584</v>
      </c>
      <c r="X58" s="3" t="str">
        <f aca="false">IF(I58&lt;=0,"SIN FCST",IF(V58&lt;R58,"BAJO SS",IF(T58&lt;R58,"BAJO SS (XLIB CUBRE)",IF(V58&lt;S58,"BAJO P.REORDEN",IF(AND(ISNUMBER(Q58),V58&gt;Q58),"SOBRE MAX VENDIBLE","OK")))))</f>
        <v>OK</v>
      </c>
    </row>
    <row r="59" customFormat="false" ht="15" hidden="false" customHeight="false" outlineLevel="0" collapsed="false">
      <c r="A59" s="3" t="n">
        <v>30002125</v>
      </c>
      <c r="B59" s="3" t="s">
        <v>398</v>
      </c>
      <c r="C59" s="3" t="s">
        <v>128</v>
      </c>
      <c r="D59" s="3" t="s">
        <v>362</v>
      </c>
      <c r="E59" s="3" t="s">
        <v>363</v>
      </c>
      <c r="F59" s="3" t="str">
        <f aca="false">IFERROR(INDEX(ABC_XYZ!$L$5:$L$137,MATCH(A59,ABC_XYZ!$A$5:$A$137,0)),"SIN HIST")</f>
        <v>CY</v>
      </c>
      <c r="G59" s="24" t="n">
        <f aca="false">IF(LEFT(F59,1)="A",Parametros!$B$8,IF(LEFT(F59,1)="B",Parametros!$B$9,IF(LEFT(F59,1)="C",Parametros!$B$10,Parametros!$B$11)))</f>
        <v>0.9</v>
      </c>
      <c r="H59" s="27" t="n">
        <f aca="false">NORMSINV(G59)</f>
        <v>1.2815515655446</v>
      </c>
      <c r="I59" s="23" t="n">
        <v>5190.9</v>
      </c>
      <c r="J59" s="23" t="n">
        <f aca="false">IFERROR(INDEX(ABC_XYZ!$R$5:$R$137,MATCH(A59,ABC_XYZ!$A$5:$A$137,0)),I59*Parametros!$B$13)</f>
        <v>544.925611984479</v>
      </c>
      <c r="K59" s="27" t="n">
        <f aca="false">IFERROR(VLOOKUP(C59,Parametros!$A$36:$B$41,2,FALSE()),Parametros!$B$12)</f>
        <v>1</v>
      </c>
      <c r="L59" s="23" t="n">
        <f aca="false">H59*J59*SQRT(K59)</f>
        <v>698.350271144059</v>
      </c>
      <c r="M59" s="29" t="n">
        <v>365</v>
      </c>
      <c r="N59" s="24" t="n">
        <v>0.32054794520548</v>
      </c>
      <c r="O59" s="3" t="s">
        <v>371</v>
      </c>
      <c r="P59" s="30" t="n">
        <f aca="false">IF(AND(ISNUMBER(M59),ISNUMBER(N59)),M59*N59/7,"")</f>
        <v>16.7142857142857</v>
      </c>
      <c r="Q59" s="23" t="n">
        <f aca="false">IF(ISNUMBER(P59),I59*P59,"")</f>
        <v>86762.1857142857</v>
      </c>
      <c r="R59" s="23" t="n">
        <f aca="false">IF(ISNUMBER(Q59),MAX(0,MIN(L59,Q59-I59*K59)),L59)</f>
        <v>698.350271144059</v>
      </c>
      <c r="S59" s="23" t="n">
        <f aca="false">R59+I59*K59</f>
        <v>5889.25027114406</v>
      </c>
      <c r="T59" s="23" t="n">
        <v>15792.8</v>
      </c>
      <c r="U59" s="23" t="n">
        <v>0</v>
      </c>
      <c r="V59" s="23" t="n">
        <f aca="false">T59+U59</f>
        <v>15792.8</v>
      </c>
      <c r="W59" s="30" t="n">
        <f aca="false">IF(I59&gt;0,V59/I59,"")</f>
        <v>3.04240112504575</v>
      </c>
      <c r="X59" s="3" t="str">
        <f aca="false">IF(I59&lt;=0,"SIN FCST",IF(V59&lt;R59,"BAJO SS",IF(T59&lt;R59,"BAJO SS (XLIB CUBRE)",IF(V59&lt;S59,"BAJO P.REORDEN",IF(AND(ISNUMBER(Q59),V59&gt;Q59),"SOBRE MAX VENDIBLE","OK")))))</f>
        <v>OK</v>
      </c>
    </row>
    <row r="60" customFormat="false" ht="15" hidden="false" customHeight="false" outlineLevel="0" collapsed="false">
      <c r="A60" s="3" t="n">
        <v>30000244</v>
      </c>
      <c r="B60" s="3" t="s">
        <v>399</v>
      </c>
      <c r="C60" s="3" t="s">
        <v>126</v>
      </c>
      <c r="D60" s="3" t="s">
        <v>370</v>
      </c>
      <c r="E60" s="3" t="s">
        <v>363</v>
      </c>
      <c r="F60" s="3" t="str">
        <f aca="false">IFERROR(INDEX(ABC_XYZ!$L$5:$L$137,MATCH(A60,ABC_XYZ!$A$5:$A$137,0)),"SIN HIST")</f>
        <v>CX</v>
      </c>
      <c r="G60" s="24" t="n">
        <f aca="false">IF(LEFT(F60,1)="A",Parametros!$B$8,IF(LEFT(F60,1)="B",Parametros!$B$9,IF(LEFT(F60,1)="C",Parametros!$B$10,Parametros!$B$11)))</f>
        <v>0.9</v>
      </c>
      <c r="H60" s="27" t="n">
        <f aca="false">NORMSINV(G60)</f>
        <v>1.2815515655446</v>
      </c>
      <c r="I60" s="23" t="n">
        <v>5163.6</v>
      </c>
      <c r="J60" s="23" t="n">
        <f aca="false">IFERROR(INDEX(ABC_XYZ!$R$5:$R$137,MATCH(A60,ABC_XYZ!$A$5:$A$137,0)),I60*Parametros!$B$13)</f>
        <v>1791.43958761353</v>
      </c>
      <c r="K60" s="27" t="n">
        <f aca="false">IFERROR(VLOOKUP(C60,Parametros!$A$36:$B$41,2,FALSE()),Parametros!$B$12)</f>
        <v>1</v>
      </c>
      <c r="L60" s="23" t="n">
        <f aca="false">H60*J60*SQRT(K60)</f>
        <v>2295.82220808469</v>
      </c>
      <c r="M60" s="29" t="n">
        <v>365</v>
      </c>
      <c r="N60" s="24" t="n">
        <v>0.194520547945206</v>
      </c>
      <c r="O60" s="3" t="s">
        <v>364</v>
      </c>
      <c r="P60" s="30" t="n">
        <f aca="false">IF(AND(ISNUMBER(M60),ISNUMBER(N60)),M60*N60/7,"")</f>
        <v>10.1428571428571</v>
      </c>
      <c r="Q60" s="23" t="n">
        <f aca="false">IF(ISNUMBER(P60),I60*P60,"")</f>
        <v>52373.6571428572</v>
      </c>
      <c r="R60" s="23" t="n">
        <f aca="false">IF(ISNUMBER(Q60),MAX(0,MIN(L60,Q60-I60*K60)),L60)</f>
        <v>2295.82220808469</v>
      </c>
      <c r="S60" s="23" t="n">
        <f aca="false">R60+I60*K60</f>
        <v>7459.42220808469</v>
      </c>
      <c r="T60" s="23" t="n">
        <v>32148</v>
      </c>
      <c r="U60" s="23" t="n">
        <v>0</v>
      </c>
      <c r="V60" s="23" t="n">
        <f aca="false">T60+U60</f>
        <v>32148</v>
      </c>
      <c r="W60" s="30" t="n">
        <f aca="false">IF(I60&gt;0,V60/I60,"")</f>
        <v>6.22588891471067</v>
      </c>
      <c r="X60" s="3" t="str">
        <f aca="false">IF(I60&lt;=0,"SIN FCST",IF(V60&lt;R60,"BAJO SS",IF(T60&lt;R60,"BAJO SS (XLIB CUBRE)",IF(V60&lt;S60,"BAJO P.REORDEN",IF(AND(ISNUMBER(Q60),V60&gt;Q60),"SOBRE MAX VENDIBLE","OK")))))</f>
        <v>OK</v>
      </c>
    </row>
    <row r="61" customFormat="false" ht="15" hidden="false" customHeight="false" outlineLevel="0" collapsed="false">
      <c r="A61" s="3" t="n">
        <v>30000543</v>
      </c>
      <c r="B61" s="3" t="s">
        <v>400</v>
      </c>
      <c r="C61" s="3" t="s">
        <v>129</v>
      </c>
      <c r="D61" s="3" t="s">
        <v>401</v>
      </c>
      <c r="E61" s="3" t="s">
        <v>363</v>
      </c>
      <c r="F61" s="3" t="str">
        <f aca="false">IFERROR(INDEX(ABC_XYZ!$L$5:$L$137,MATCH(A61,ABC_XYZ!$A$5:$A$137,0)),"SIN HIST")</f>
        <v>CX</v>
      </c>
      <c r="G61" s="24" t="n">
        <f aca="false">IF(LEFT(F61,1)="A",Parametros!$B$8,IF(LEFT(F61,1)="B",Parametros!$B$9,IF(LEFT(F61,1)="C",Parametros!$B$10,Parametros!$B$11)))</f>
        <v>0.9</v>
      </c>
      <c r="H61" s="27" t="n">
        <f aca="false">NORMSINV(G61)</f>
        <v>1.2815515655446</v>
      </c>
      <c r="I61" s="23" t="n">
        <v>5113.7</v>
      </c>
      <c r="J61" s="23" t="n">
        <f aca="false">IFERROR(INDEX(ABC_XYZ!$R$5:$R$137,MATCH(A61,ABC_XYZ!$A$5:$A$137,0)),I61*Parametros!$B$13)</f>
        <v>2059.45409713188</v>
      </c>
      <c r="K61" s="27" t="n">
        <f aca="false">IFERROR(VLOOKUP(C61,Parametros!$A$36:$B$41,2,FALSE()),Parametros!$B$12)</f>
        <v>1</v>
      </c>
      <c r="L61" s="23" t="n">
        <f aca="false">H61*J61*SQRT(K61)</f>
        <v>2639.2966223466</v>
      </c>
      <c r="M61" s="29" t="n">
        <v>365</v>
      </c>
      <c r="N61" s="24" t="n">
        <v>0.479452054794521</v>
      </c>
      <c r="O61" s="3" t="s">
        <v>402</v>
      </c>
      <c r="P61" s="30" t="n">
        <f aca="false">IF(AND(ISNUMBER(M61),ISNUMBER(N61)),M61*N61/7,"")</f>
        <v>25</v>
      </c>
      <c r="Q61" s="23" t="n">
        <f aca="false">IF(ISNUMBER(P61),I61*P61,"")</f>
        <v>127842.5</v>
      </c>
      <c r="R61" s="23" t="n">
        <f aca="false">IF(ISNUMBER(Q61),MAX(0,MIN(L61,Q61-I61*K61)),L61)</f>
        <v>2639.2966223466</v>
      </c>
      <c r="S61" s="23" t="n">
        <f aca="false">R61+I61*K61</f>
        <v>7752.9966223466</v>
      </c>
      <c r="T61" s="23" t="n">
        <v>4572</v>
      </c>
      <c r="U61" s="23" t="n">
        <v>0</v>
      </c>
      <c r="V61" s="23" t="n">
        <f aca="false">T61+U61</f>
        <v>4572</v>
      </c>
      <c r="W61" s="30" t="n">
        <f aca="false">IF(I61&gt;0,V61/I61,"")</f>
        <v>0.894068873809571</v>
      </c>
      <c r="X61" s="3" t="str">
        <f aca="false">IF(I61&lt;=0,"SIN FCST",IF(V61&lt;R61,"BAJO SS",IF(T61&lt;R61,"BAJO SS (XLIB CUBRE)",IF(V61&lt;S61,"BAJO P.REORDEN",IF(AND(ISNUMBER(Q61),V61&gt;Q61),"SOBRE MAX VENDIBLE","OK")))))</f>
        <v>BAJO P.REORDEN</v>
      </c>
    </row>
    <row r="62" customFormat="false" ht="15" hidden="false" customHeight="false" outlineLevel="0" collapsed="false">
      <c r="A62" s="3" t="n">
        <v>30002077</v>
      </c>
      <c r="B62" s="3" t="s">
        <v>403</v>
      </c>
      <c r="C62" s="3" t="s">
        <v>129</v>
      </c>
      <c r="D62" s="3" t="s">
        <v>370</v>
      </c>
      <c r="E62" s="3" t="s">
        <v>363</v>
      </c>
      <c r="F62" s="3" t="str">
        <f aca="false">IFERROR(INDEX(ABC_XYZ!$L$5:$L$137,MATCH(A62,ABC_XYZ!$A$5:$A$137,0)),"SIN HIST")</f>
        <v>BY</v>
      </c>
      <c r="G62" s="24" t="n">
        <f aca="false">IF(LEFT(F62,1)="A",Parametros!$B$8,IF(LEFT(F62,1)="B",Parametros!$B$9,IF(LEFT(F62,1)="C",Parametros!$B$10,Parametros!$B$11)))</f>
        <v>0.95</v>
      </c>
      <c r="H62" s="27" t="n">
        <f aca="false">NORMSINV(G62)</f>
        <v>1.64485362695147</v>
      </c>
      <c r="I62" s="23" t="n">
        <v>4896</v>
      </c>
      <c r="J62" s="23" t="n">
        <f aca="false">IFERROR(INDEX(ABC_XYZ!$R$5:$R$137,MATCH(A62,ABC_XYZ!$A$5:$A$137,0)),I62*Parametros!$B$13)</f>
        <v>4189.65607029954</v>
      </c>
      <c r="K62" s="27" t="n">
        <f aca="false">IFERROR(VLOOKUP(C62,Parametros!$A$36:$B$41,2,FALSE()),Parametros!$B$12)</f>
        <v>1</v>
      </c>
      <c r="L62" s="23" t="n">
        <f aca="false">H62*J62*SQRT(K62)</f>
        <v>6891.37098291145</v>
      </c>
      <c r="M62" s="29" t="n">
        <v>214</v>
      </c>
      <c r="N62" s="24" t="n">
        <v>0.219626168224299</v>
      </c>
      <c r="O62" s="3" t="s">
        <v>364</v>
      </c>
      <c r="P62" s="30" t="n">
        <f aca="false">IF(AND(ISNUMBER(M62),ISNUMBER(N62)),M62*N62/7,"")</f>
        <v>6.71428571428571</v>
      </c>
      <c r="Q62" s="23" t="n">
        <f aca="false">IF(ISNUMBER(P62),I62*P62,"")</f>
        <v>32873.1428571429</v>
      </c>
      <c r="R62" s="23" t="n">
        <f aca="false">IF(ISNUMBER(Q62),MAX(0,MIN(L62,Q62-I62*K62)),L62)</f>
        <v>6891.37098291145</v>
      </c>
      <c r="S62" s="23" t="n">
        <f aca="false">R62+I62*K62</f>
        <v>11787.3709829114</v>
      </c>
      <c r="T62" s="23" t="n">
        <v>7332</v>
      </c>
      <c r="U62" s="23" t="n">
        <v>6048</v>
      </c>
      <c r="V62" s="23" t="n">
        <f aca="false">T62+U62</f>
        <v>13380</v>
      </c>
      <c r="W62" s="30" t="n">
        <f aca="false">IF(I62&gt;0,V62/I62,"")</f>
        <v>2.7328431372549</v>
      </c>
      <c r="X62" s="3" t="str">
        <f aca="false">IF(I62&lt;=0,"SIN FCST",IF(V62&lt;R62,"BAJO SS",IF(T62&lt;R62,"BAJO SS (XLIB CUBRE)",IF(V62&lt;S62,"BAJO P.REORDEN",IF(AND(ISNUMBER(Q62),V62&gt;Q62),"SOBRE MAX VENDIBLE","OK")))))</f>
        <v>OK</v>
      </c>
    </row>
    <row r="63" customFormat="false" ht="15" hidden="false" customHeight="false" outlineLevel="0" collapsed="false">
      <c r="A63" s="3" t="n">
        <v>30000307</v>
      </c>
      <c r="B63" s="3" t="s">
        <v>256</v>
      </c>
      <c r="C63" s="3" t="s">
        <v>129</v>
      </c>
      <c r="D63" s="3" t="s">
        <v>370</v>
      </c>
      <c r="E63" s="3" t="s">
        <v>363</v>
      </c>
      <c r="F63" s="3" t="str">
        <f aca="false">IFERROR(INDEX(ABC_XYZ!$L$5:$L$137,MATCH(A63,ABC_XYZ!$A$5:$A$137,0)),"SIN HIST")</f>
        <v>CX</v>
      </c>
      <c r="G63" s="24" t="n">
        <f aca="false">IF(LEFT(F63,1)="A",Parametros!$B$8,IF(LEFT(F63,1)="B",Parametros!$B$9,IF(LEFT(F63,1)="C",Parametros!$B$10,Parametros!$B$11)))</f>
        <v>0.9</v>
      </c>
      <c r="H63" s="27" t="n">
        <f aca="false">NORMSINV(G63)</f>
        <v>1.2815515655446</v>
      </c>
      <c r="I63" s="23" t="n">
        <v>4866.8</v>
      </c>
      <c r="J63" s="23" t="n">
        <f aca="false">IFERROR(INDEX(ABC_XYZ!$R$5:$R$137,MATCH(A63,ABC_XYZ!$A$5:$A$137,0)),I63*Parametros!$B$13)</f>
        <v>1165.11883278349</v>
      </c>
      <c r="K63" s="27" t="n">
        <f aca="false">IFERROR(VLOOKUP(C63,Parametros!$A$36:$B$41,2,FALSE()),Parametros!$B$12)</f>
        <v>1</v>
      </c>
      <c r="L63" s="23" t="n">
        <f aca="false">H63*J63*SQRT(K63)</f>
        <v>1493.15986419918</v>
      </c>
      <c r="M63" s="29" t="n">
        <v>245</v>
      </c>
      <c r="N63" s="24" t="n">
        <v>0.220408163265306</v>
      </c>
      <c r="O63" s="3" t="s">
        <v>364</v>
      </c>
      <c r="P63" s="30" t="n">
        <f aca="false">IF(AND(ISNUMBER(M63),ISNUMBER(N63)),M63*N63/7,"")</f>
        <v>7.71428571428571</v>
      </c>
      <c r="Q63" s="23" t="n">
        <f aca="false">IF(ISNUMBER(P63),I63*P63,"")</f>
        <v>37543.8857142857</v>
      </c>
      <c r="R63" s="23" t="n">
        <f aca="false">IF(ISNUMBER(Q63),MAX(0,MIN(L63,Q63-I63*K63)),L63)</f>
        <v>1493.15986419918</v>
      </c>
      <c r="S63" s="23" t="n">
        <f aca="false">R63+I63*K63</f>
        <v>6359.95986419918</v>
      </c>
      <c r="T63" s="23" t="n">
        <v>15828</v>
      </c>
      <c r="U63" s="23" t="n">
        <v>0</v>
      </c>
      <c r="V63" s="23" t="n">
        <f aca="false">T63+U63</f>
        <v>15828</v>
      </c>
      <c r="W63" s="30" t="n">
        <f aca="false">IF(I63&gt;0,V63/I63,"")</f>
        <v>3.25223966466672</v>
      </c>
      <c r="X63" s="3" t="str">
        <f aca="false">IF(I63&lt;=0,"SIN FCST",IF(V63&lt;R63,"BAJO SS",IF(T63&lt;R63,"BAJO SS (XLIB CUBRE)",IF(V63&lt;S63,"BAJO P.REORDEN",IF(AND(ISNUMBER(Q63),V63&gt;Q63),"SOBRE MAX VENDIBLE","OK")))))</f>
        <v>OK</v>
      </c>
    </row>
    <row r="64" customFormat="false" ht="15" hidden="false" customHeight="false" outlineLevel="0" collapsed="false">
      <c r="A64" s="3" t="n">
        <v>30002180</v>
      </c>
      <c r="B64" s="3" t="s">
        <v>260</v>
      </c>
      <c r="C64" s="3" t="s">
        <v>129</v>
      </c>
      <c r="D64" s="3" t="s">
        <v>370</v>
      </c>
      <c r="E64" s="3"/>
      <c r="F64" s="3" t="str">
        <f aca="false">IFERROR(INDEX(ABC_XYZ!$L$5:$L$137,MATCH(A64,ABC_XYZ!$A$5:$A$137,0)),"SIN HIST")</f>
        <v>CX</v>
      </c>
      <c r="G64" s="24" t="n">
        <f aca="false">IF(LEFT(F64,1)="A",Parametros!$B$8,IF(LEFT(F64,1)="B",Parametros!$B$9,IF(LEFT(F64,1)="C",Parametros!$B$10,Parametros!$B$11)))</f>
        <v>0.9</v>
      </c>
      <c r="H64" s="27" t="n">
        <f aca="false">NORMSINV(G64)</f>
        <v>1.2815515655446</v>
      </c>
      <c r="I64" s="23" t="n">
        <v>4687.7</v>
      </c>
      <c r="J64" s="23" t="n">
        <f aca="false">IFERROR(INDEX(ABC_XYZ!$R$5:$R$137,MATCH(A64,ABC_XYZ!$A$5:$A$137,0)),I64*Parametros!$B$13)</f>
        <v>1470.1980475724</v>
      </c>
      <c r="K64" s="27" t="n">
        <f aca="false">IFERROR(VLOOKUP(C64,Parametros!$A$36:$B$41,2,FALSE()),Parametros!$B$12)</f>
        <v>1</v>
      </c>
      <c r="L64" s="23" t="n">
        <f aca="false">H64*J64*SQRT(K64)</f>
        <v>1884.13460952702</v>
      </c>
      <c r="M64" s="29" t="n">
        <v>245</v>
      </c>
      <c r="N64" s="24" t="n">
        <v>0.19</v>
      </c>
      <c r="O64" s="3" t="s">
        <v>364</v>
      </c>
      <c r="P64" s="30" t="n">
        <f aca="false">IF(AND(ISNUMBER(M64),ISNUMBER(N64)),M64*N64/7,"")</f>
        <v>6.65</v>
      </c>
      <c r="Q64" s="23" t="n">
        <f aca="false">IF(ISNUMBER(P64),I64*P64,"")</f>
        <v>31173.205</v>
      </c>
      <c r="R64" s="23" t="n">
        <f aca="false">IF(ISNUMBER(Q64),MAX(0,MIN(L64,Q64-I64*K64)),L64)</f>
        <v>1884.13460952702</v>
      </c>
      <c r="S64" s="23" t="n">
        <f aca="false">R64+I64*K64</f>
        <v>6571.83460952702</v>
      </c>
      <c r="T64" s="23" t="n">
        <v>14540.7</v>
      </c>
      <c r="U64" s="23" t="n">
        <v>5608.8</v>
      </c>
      <c r="V64" s="23" t="n">
        <f aca="false">T64+U64</f>
        <v>20149.5</v>
      </c>
      <c r="W64" s="30" t="n">
        <f aca="false">IF(I64&gt;0,V64/I64,"")</f>
        <v>4.29837660259829</v>
      </c>
      <c r="X64" s="3" t="str">
        <f aca="false">IF(I64&lt;=0,"SIN FCST",IF(V64&lt;R64,"BAJO SS",IF(T64&lt;R64,"BAJO SS (XLIB CUBRE)",IF(V64&lt;S64,"BAJO P.REORDEN",IF(AND(ISNUMBER(Q64),V64&gt;Q64),"SOBRE MAX VENDIBLE","OK")))))</f>
        <v>OK</v>
      </c>
    </row>
    <row r="65" customFormat="false" ht="15" hidden="false" customHeight="false" outlineLevel="0" collapsed="false">
      <c r="A65" s="3" t="n">
        <v>30001376</v>
      </c>
      <c r="B65" s="3" t="s">
        <v>404</v>
      </c>
      <c r="C65" s="3" t="s">
        <v>129</v>
      </c>
      <c r="D65" s="3" t="s">
        <v>370</v>
      </c>
      <c r="E65" s="3" t="s">
        <v>363</v>
      </c>
      <c r="F65" s="3" t="str">
        <f aca="false">IFERROR(INDEX(ABC_XYZ!$L$5:$L$137,MATCH(A65,ABC_XYZ!$A$5:$A$137,0)),"SIN HIST")</f>
        <v>CX</v>
      </c>
      <c r="G65" s="24" t="n">
        <f aca="false">IF(LEFT(F65,1)="A",Parametros!$B$8,IF(LEFT(F65,1)="B",Parametros!$B$9,IF(LEFT(F65,1)="C",Parametros!$B$10,Parametros!$B$11)))</f>
        <v>0.9</v>
      </c>
      <c r="H65" s="27" t="n">
        <f aca="false">NORMSINV(G65)</f>
        <v>1.2815515655446</v>
      </c>
      <c r="I65" s="23" t="n">
        <v>4487.3</v>
      </c>
      <c r="J65" s="23" t="n">
        <f aca="false">IFERROR(INDEX(ABC_XYZ!$R$5:$R$137,MATCH(A65,ABC_XYZ!$A$5:$A$137,0)),I65*Parametros!$B$13)</f>
        <v>796.81424173175</v>
      </c>
      <c r="K65" s="27" t="n">
        <f aca="false">IFERROR(VLOOKUP(C65,Parametros!$A$36:$B$41,2,FALSE()),Parametros!$B$12)</f>
        <v>1</v>
      </c>
      <c r="L65" s="23" t="n">
        <f aca="false">H65*J65*SQRT(K65)</f>
        <v>1021.15853893956</v>
      </c>
      <c r="M65" s="29" t="n">
        <v>189</v>
      </c>
      <c r="N65" s="24" t="n">
        <v>0.211640211640212</v>
      </c>
      <c r="O65" s="3" t="s">
        <v>364</v>
      </c>
      <c r="P65" s="30" t="n">
        <f aca="false">IF(AND(ISNUMBER(M65),ISNUMBER(N65)),M65*N65/7,"")</f>
        <v>5.71428571428571</v>
      </c>
      <c r="Q65" s="23" t="n">
        <f aca="false">IF(ISNUMBER(P65),I65*P65,"")</f>
        <v>25641.7142857143</v>
      </c>
      <c r="R65" s="23" t="n">
        <f aca="false">IF(ISNUMBER(Q65),MAX(0,MIN(L65,Q65-I65*K65)),L65)</f>
        <v>1021.15853893956</v>
      </c>
      <c r="S65" s="23" t="n">
        <f aca="false">R65+I65*K65</f>
        <v>5508.45853893956</v>
      </c>
      <c r="T65" s="23" t="n">
        <v>11101.5</v>
      </c>
      <c r="U65" s="23" t="n">
        <v>0</v>
      </c>
      <c r="V65" s="23" t="n">
        <f aca="false">T65+U65</f>
        <v>11101.5</v>
      </c>
      <c r="W65" s="30" t="n">
        <f aca="false">IF(I65&gt;0,V65/I65,"")</f>
        <v>2.47398212733715</v>
      </c>
      <c r="X65" s="3" t="str">
        <f aca="false">IF(I65&lt;=0,"SIN FCST",IF(V65&lt;R65,"BAJO SS",IF(T65&lt;R65,"BAJO SS (XLIB CUBRE)",IF(V65&lt;S65,"BAJO P.REORDEN",IF(AND(ISNUMBER(Q65),V65&gt;Q65),"SOBRE MAX VENDIBLE","OK")))))</f>
        <v>OK</v>
      </c>
    </row>
    <row r="66" customFormat="false" ht="15" hidden="false" customHeight="false" outlineLevel="0" collapsed="false">
      <c r="A66" s="3" t="n">
        <v>30001405</v>
      </c>
      <c r="B66" s="3" t="s">
        <v>405</v>
      </c>
      <c r="C66" s="3" t="s">
        <v>129</v>
      </c>
      <c r="D66" s="3" t="s">
        <v>370</v>
      </c>
      <c r="E66" s="3" t="s">
        <v>363</v>
      </c>
      <c r="F66" s="3" t="str">
        <f aca="false">IFERROR(INDEX(ABC_XYZ!$L$5:$L$137,MATCH(A66,ABC_XYZ!$A$5:$A$137,0)),"SIN HIST")</f>
        <v>BX</v>
      </c>
      <c r="G66" s="24" t="n">
        <f aca="false">IF(LEFT(F66,1)="A",Parametros!$B$8,IF(LEFT(F66,1)="B",Parametros!$B$9,IF(LEFT(F66,1)="C",Parametros!$B$10,Parametros!$B$11)))</f>
        <v>0.95</v>
      </c>
      <c r="H66" s="27" t="n">
        <f aca="false">NORMSINV(G66)</f>
        <v>1.64485362695147</v>
      </c>
      <c r="I66" s="23" t="n">
        <v>4357</v>
      </c>
      <c r="J66" s="23" t="n">
        <f aca="false">IFERROR(INDEX(ABC_XYZ!$R$5:$R$137,MATCH(A66,ABC_XYZ!$A$5:$A$137,0)),I66*Parametros!$B$13)</f>
        <v>1131.57348703454</v>
      </c>
      <c r="K66" s="27" t="n">
        <f aca="false">IFERROR(VLOOKUP(C66,Parametros!$A$36:$B$41,2,FALSE()),Parametros!$B$12)</f>
        <v>1</v>
      </c>
      <c r="L66" s="23" t="n">
        <f aca="false">H66*J66*SQRT(K66)</f>
        <v>1861.27275431089</v>
      </c>
      <c r="M66" s="29" t="n">
        <v>250</v>
      </c>
      <c r="N66" s="24" t="n">
        <v>0.208</v>
      </c>
      <c r="O66" s="3" t="s">
        <v>364</v>
      </c>
      <c r="P66" s="30" t="n">
        <f aca="false">IF(AND(ISNUMBER(M66),ISNUMBER(N66)),M66*N66/7,"")</f>
        <v>7.42857142857143</v>
      </c>
      <c r="Q66" s="23" t="n">
        <f aca="false">IF(ISNUMBER(P66),I66*P66,"")</f>
        <v>32366.2857142857</v>
      </c>
      <c r="R66" s="23" t="n">
        <f aca="false">IF(ISNUMBER(Q66),MAX(0,MIN(L66,Q66-I66*K66)),L66)</f>
        <v>1861.27275431089</v>
      </c>
      <c r="S66" s="23" t="n">
        <f aca="false">R66+I66*K66</f>
        <v>6218.27275431089</v>
      </c>
      <c r="T66" s="23" t="n">
        <v>1800</v>
      </c>
      <c r="U66" s="23" t="n">
        <v>14328</v>
      </c>
      <c r="V66" s="23" t="n">
        <f aca="false">T66+U66</f>
        <v>16128</v>
      </c>
      <c r="W66" s="30" t="n">
        <f aca="false">IF(I66&gt;0,V66/I66,"")</f>
        <v>3.70162956162497</v>
      </c>
      <c r="X66" s="3" t="str">
        <f aca="false">IF(I66&lt;=0,"SIN FCST",IF(V66&lt;R66,"BAJO SS",IF(T66&lt;R66,"BAJO SS (XLIB CUBRE)",IF(V66&lt;S66,"BAJO P.REORDEN",IF(AND(ISNUMBER(Q66),V66&gt;Q66),"SOBRE MAX VENDIBLE","OK")))))</f>
        <v>BAJO SS (XLIB CUBRE)</v>
      </c>
    </row>
    <row r="67" customFormat="false" ht="15" hidden="false" customHeight="false" outlineLevel="0" collapsed="false">
      <c r="A67" s="3" t="n">
        <v>30000351</v>
      </c>
      <c r="B67" s="3" t="s">
        <v>249</v>
      </c>
      <c r="C67" s="3" t="s">
        <v>129</v>
      </c>
      <c r="D67" s="3" t="s">
        <v>370</v>
      </c>
      <c r="E67" s="3" t="s">
        <v>363</v>
      </c>
      <c r="F67" s="3" t="str">
        <f aca="false">IFERROR(INDEX(ABC_XYZ!$L$5:$L$137,MATCH(A67,ABC_XYZ!$A$5:$A$137,0)),"SIN HIST")</f>
        <v>BX</v>
      </c>
      <c r="G67" s="24" t="n">
        <f aca="false">IF(LEFT(F67,1)="A",Parametros!$B$8,IF(LEFT(F67,1)="B",Parametros!$B$9,IF(LEFT(F67,1)="C",Parametros!$B$10,Parametros!$B$11)))</f>
        <v>0.95</v>
      </c>
      <c r="H67" s="27" t="n">
        <f aca="false">NORMSINV(G67)</f>
        <v>1.64485362695147</v>
      </c>
      <c r="I67" s="23" t="n">
        <v>4291.8</v>
      </c>
      <c r="J67" s="23" t="n">
        <f aca="false">IFERROR(INDEX(ABC_XYZ!$R$5:$R$137,MATCH(A67,ABC_XYZ!$A$5:$A$137,0)),I67*Parametros!$B$13)</f>
        <v>896.553569968013</v>
      </c>
      <c r="K67" s="27" t="n">
        <f aca="false">IFERROR(VLOOKUP(C67,Parametros!$A$36:$B$41,2,FALSE()),Parametros!$B$12)</f>
        <v>1</v>
      </c>
      <c r="L67" s="23" t="n">
        <f aca="false">H67*J67*SQRT(K67)</f>
        <v>1474.69939131818</v>
      </c>
      <c r="M67" s="29" t="n">
        <v>214</v>
      </c>
      <c r="N67" s="24" t="n">
        <v>0.238317757009346</v>
      </c>
      <c r="O67" s="3" t="s">
        <v>364</v>
      </c>
      <c r="P67" s="30" t="n">
        <f aca="false">IF(AND(ISNUMBER(M67),ISNUMBER(N67)),M67*N67/7,"")</f>
        <v>7.28571428571429</v>
      </c>
      <c r="Q67" s="23" t="n">
        <f aca="false">IF(ISNUMBER(P67),I67*P67,"")</f>
        <v>31268.8285714286</v>
      </c>
      <c r="R67" s="23" t="n">
        <f aca="false">IF(ISNUMBER(Q67),MAX(0,MIN(L67,Q67-I67*K67)),L67)</f>
        <v>1474.69939131818</v>
      </c>
      <c r="S67" s="23" t="n">
        <f aca="false">R67+I67*K67</f>
        <v>5766.49939131818</v>
      </c>
      <c r="T67" s="23" t="n">
        <v>16116</v>
      </c>
      <c r="U67" s="23" t="n">
        <v>21534</v>
      </c>
      <c r="V67" s="23" t="n">
        <f aca="false">T67+U67</f>
        <v>37650</v>
      </c>
      <c r="W67" s="30" t="n">
        <f aca="false">IF(I67&gt;0,V67/I67,"")</f>
        <v>8.77254298895568</v>
      </c>
      <c r="X67" s="3" t="str">
        <f aca="false">IF(I67&lt;=0,"SIN FCST",IF(V67&lt;R67,"BAJO SS",IF(T67&lt;R67,"BAJO SS (XLIB CUBRE)",IF(V67&lt;S67,"BAJO P.REORDEN",IF(AND(ISNUMBER(Q67),V67&gt;Q67),"SOBRE MAX VENDIBLE","OK")))))</f>
        <v>SOBRE MAX VENDIBLE</v>
      </c>
    </row>
    <row r="68" customFormat="false" ht="15" hidden="false" customHeight="false" outlineLevel="0" collapsed="false">
      <c r="A68" s="3" t="n">
        <v>30000360</v>
      </c>
      <c r="B68" s="3" t="s">
        <v>245</v>
      </c>
      <c r="C68" s="3" t="s">
        <v>129</v>
      </c>
      <c r="D68" s="3" t="s">
        <v>370</v>
      </c>
      <c r="E68" s="3" t="s">
        <v>363</v>
      </c>
      <c r="F68" s="3" t="str">
        <f aca="false">IFERROR(INDEX(ABC_XYZ!$L$5:$L$137,MATCH(A68,ABC_XYZ!$A$5:$A$137,0)),"SIN HIST")</f>
        <v>BY</v>
      </c>
      <c r="G68" s="24" t="n">
        <f aca="false">IF(LEFT(F68,1)="A",Parametros!$B$8,IF(LEFT(F68,1)="B",Parametros!$B$9,IF(LEFT(F68,1)="C",Parametros!$B$10,Parametros!$B$11)))</f>
        <v>0.95</v>
      </c>
      <c r="H68" s="27" t="n">
        <f aca="false">NORMSINV(G68)</f>
        <v>1.64485362695147</v>
      </c>
      <c r="I68" s="23" t="n">
        <v>4183.9</v>
      </c>
      <c r="J68" s="23" t="n">
        <f aca="false">IFERROR(INDEX(ABC_XYZ!$R$5:$R$137,MATCH(A68,ABC_XYZ!$A$5:$A$137,0)),I68*Parametros!$B$13)</f>
        <v>2673.74620796747</v>
      </c>
      <c r="K68" s="27" t="n">
        <f aca="false">IFERROR(VLOOKUP(C68,Parametros!$A$36:$B$41,2,FALSE()),Parametros!$B$12)</f>
        <v>1</v>
      </c>
      <c r="L68" s="23" t="n">
        <f aca="false">H68*J68*SQRT(K68)</f>
        <v>4397.92114772304</v>
      </c>
      <c r="M68" s="29" t="n">
        <v>189</v>
      </c>
      <c r="N68" s="24" t="n">
        <v>0.259259259259259</v>
      </c>
      <c r="O68" s="3" t="s">
        <v>364</v>
      </c>
      <c r="P68" s="30" t="n">
        <f aca="false">IF(AND(ISNUMBER(M68),ISNUMBER(N68)),M68*N68/7,"")</f>
        <v>7</v>
      </c>
      <c r="Q68" s="23" t="n">
        <f aca="false">IF(ISNUMBER(P68),I68*P68,"")</f>
        <v>29287.3</v>
      </c>
      <c r="R68" s="23" t="n">
        <f aca="false">IF(ISNUMBER(Q68),MAX(0,MIN(L68,Q68-I68*K68)),L68)</f>
        <v>4397.92114772304</v>
      </c>
      <c r="S68" s="23" t="n">
        <f aca="false">R68+I68*K68</f>
        <v>8581.82114772304</v>
      </c>
      <c r="T68" s="23" t="n">
        <v>13308</v>
      </c>
      <c r="U68" s="23" t="n">
        <v>13032</v>
      </c>
      <c r="V68" s="23" t="n">
        <f aca="false">T68+U68</f>
        <v>26340</v>
      </c>
      <c r="W68" s="30" t="n">
        <f aca="false">IF(I68&gt;0,V68/I68,"")</f>
        <v>6.2955615573986</v>
      </c>
      <c r="X68" s="3" t="str">
        <f aca="false">IF(I68&lt;=0,"SIN FCST",IF(V68&lt;R68,"BAJO SS",IF(T68&lt;R68,"BAJO SS (XLIB CUBRE)",IF(V68&lt;S68,"BAJO P.REORDEN",IF(AND(ISNUMBER(Q68),V68&gt;Q68),"SOBRE MAX VENDIBLE","OK")))))</f>
        <v>OK</v>
      </c>
    </row>
    <row r="69" customFormat="false" ht="15" hidden="false" customHeight="false" outlineLevel="0" collapsed="false">
      <c r="A69" s="3" t="n">
        <v>30001980</v>
      </c>
      <c r="B69" s="3" t="s">
        <v>406</v>
      </c>
      <c r="C69" s="3" t="s">
        <v>129</v>
      </c>
      <c r="D69" s="3" t="s">
        <v>370</v>
      </c>
      <c r="E69" s="3" t="s">
        <v>363</v>
      </c>
      <c r="F69" s="3" t="str">
        <f aca="false">IFERROR(INDEX(ABC_XYZ!$L$5:$L$137,MATCH(A69,ABC_XYZ!$A$5:$A$137,0)),"SIN HIST")</f>
        <v>BX</v>
      </c>
      <c r="G69" s="24" t="n">
        <f aca="false">IF(LEFT(F69,1)="A",Parametros!$B$8,IF(LEFT(F69,1)="B",Parametros!$B$9,IF(LEFT(F69,1)="C",Parametros!$B$10,Parametros!$B$11)))</f>
        <v>0.95</v>
      </c>
      <c r="H69" s="27" t="n">
        <f aca="false">NORMSINV(G69)</f>
        <v>1.64485362695147</v>
      </c>
      <c r="I69" s="23" t="n">
        <v>4127.2</v>
      </c>
      <c r="J69" s="23" t="n">
        <f aca="false">IFERROR(INDEX(ABC_XYZ!$R$5:$R$137,MATCH(A69,ABC_XYZ!$A$5:$A$137,0)),I69*Parametros!$B$13)</f>
        <v>1007.98434935443</v>
      </c>
      <c r="K69" s="27" t="n">
        <f aca="false">IFERROR(VLOOKUP(C69,Parametros!$A$36:$B$41,2,FALSE()),Parametros!$B$12)</f>
        <v>1</v>
      </c>
      <c r="L69" s="23" t="n">
        <f aca="false">H69*J69*SQRT(K69)</f>
        <v>1657.98671294595</v>
      </c>
      <c r="M69" s="29" t="n">
        <v>189</v>
      </c>
      <c r="N69" s="24" t="n">
        <v>0.306878306878307</v>
      </c>
      <c r="O69" s="3" t="s">
        <v>371</v>
      </c>
      <c r="P69" s="30" t="n">
        <f aca="false">IF(AND(ISNUMBER(M69),ISNUMBER(N69)),M69*N69/7,"")</f>
        <v>8.28571428571429</v>
      </c>
      <c r="Q69" s="23" t="n">
        <f aca="false">IF(ISNUMBER(P69),I69*P69,"")</f>
        <v>34196.8</v>
      </c>
      <c r="R69" s="23" t="n">
        <f aca="false">IF(ISNUMBER(Q69),MAX(0,MIN(L69,Q69-I69*K69)),L69)</f>
        <v>1657.98671294595</v>
      </c>
      <c r="S69" s="23" t="n">
        <f aca="false">R69+I69*K69</f>
        <v>5785.18671294595</v>
      </c>
      <c r="T69" s="23" t="n">
        <v>22572</v>
      </c>
      <c r="U69" s="23" t="n">
        <v>0</v>
      </c>
      <c r="V69" s="23" t="n">
        <f aca="false">T69+U69</f>
        <v>22572</v>
      </c>
      <c r="W69" s="30" t="n">
        <f aca="false">IF(I69&gt;0,V69/I69,"")</f>
        <v>5.46908315565032</v>
      </c>
      <c r="X69" s="3" t="str">
        <f aca="false">IF(I69&lt;=0,"SIN FCST",IF(V69&lt;R69,"BAJO SS",IF(T69&lt;R69,"BAJO SS (XLIB CUBRE)",IF(V69&lt;S69,"BAJO P.REORDEN",IF(AND(ISNUMBER(Q69),V69&gt;Q69),"SOBRE MAX VENDIBLE","OK")))))</f>
        <v>OK</v>
      </c>
    </row>
    <row r="70" customFormat="false" ht="15" hidden="false" customHeight="false" outlineLevel="0" collapsed="false">
      <c r="A70" s="3" t="n">
        <v>30001992</v>
      </c>
      <c r="B70" s="3" t="s">
        <v>407</v>
      </c>
      <c r="C70" s="3" t="s">
        <v>129</v>
      </c>
      <c r="D70" s="3" t="s">
        <v>370</v>
      </c>
      <c r="E70" s="3" t="s">
        <v>363</v>
      </c>
      <c r="F70" s="3" t="str">
        <f aca="false">IFERROR(INDEX(ABC_XYZ!$L$5:$L$137,MATCH(A70,ABC_XYZ!$A$5:$A$137,0)),"SIN HIST")</f>
        <v>CX</v>
      </c>
      <c r="G70" s="24" t="n">
        <f aca="false">IF(LEFT(F70,1)="A",Parametros!$B$8,IF(LEFT(F70,1)="B",Parametros!$B$9,IF(LEFT(F70,1)="C",Parametros!$B$10,Parametros!$B$11)))</f>
        <v>0.9</v>
      </c>
      <c r="H70" s="27" t="n">
        <f aca="false">NORMSINV(G70)</f>
        <v>1.2815515655446</v>
      </c>
      <c r="I70" s="23" t="n">
        <v>3894</v>
      </c>
      <c r="J70" s="23" t="n">
        <f aca="false">IFERROR(INDEX(ABC_XYZ!$R$5:$R$137,MATCH(A70,ABC_XYZ!$A$5:$A$137,0)),I70*Parametros!$B$13)</f>
        <v>1115.85609768611</v>
      </c>
      <c r="K70" s="27" t="n">
        <f aca="false">IFERROR(VLOOKUP(C70,Parametros!$A$36:$B$41,2,FALSE()),Parametros!$B$12)</f>
        <v>1</v>
      </c>
      <c r="L70" s="23" t="n">
        <f aca="false">H70*J70*SQRT(K70)</f>
        <v>1430.02712891212</v>
      </c>
      <c r="M70" s="29" t="n">
        <v>250</v>
      </c>
      <c r="N70" s="24" t="n">
        <v>0.268</v>
      </c>
      <c r="O70" s="3" t="s">
        <v>371</v>
      </c>
      <c r="P70" s="30" t="n">
        <f aca="false">IF(AND(ISNUMBER(M70),ISNUMBER(N70)),M70*N70/7,"")</f>
        <v>9.57142857142857</v>
      </c>
      <c r="Q70" s="23" t="n">
        <f aca="false">IF(ISNUMBER(P70),I70*P70,"")</f>
        <v>37271.1428571429</v>
      </c>
      <c r="R70" s="23" t="n">
        <f aca="false">IF(ISNUMBER(Q70),MAX(0,MIN(L70,Q70-I70*K70)),L70)</f>
        <v>1430.02712891212</v>
      </c>
      <c r="S70" s="23" t="n">
        <f aca="false">R70+I70*K70</f>
        <v>5324.02712891212</v>
      </c>
      <c r="T70" s="23" t="n">
        <v>9468</v>
      </c>
      <c r="U70" s="23" t="n">
        <v>14340</v>
      </c>
      <c r="V70" s="23" t="n">
        <f aca="false">T70+U70</f>
        <v>23808</v>
      </c>
      <c r="W70" s="30" t="n">
        <f aca="false">IF(I70&gt;0,V70/I70,"")</f>
        <v>6.11402157164869</v>
      </c>
      <c r="X70" s="3" t="str">
        <f aca="false">IF(I70&lt;=0,"SIN FCST",IF(V70&lt;R70,"BAJO SS",IF(T70&lt;R70,"BAJO SS (XLIB CUBRE)",IF(V70&lt;S70,"BAJO P.REORDEN",IF(AND(ISNUMBER(Q70),V70&gt;Q70),"SOBRE MAX VENDIBLE","OK")))))</f>
        <v>OK</v>
      </c>
    </row>
    <row r="71" customFormat="false" ht="15" hidden="false" customHeight="false" outlineLevel="0" collapsed="false">
      <c r="A71" s="3" t="n">
        <v>30000246</v>
      </c>
      <c r="B71" s="3" t="s">
        <v>408</v>
      </c>
      <c r="C71" s="3" t="s">
        <v>126</v>
      </c>
      <c r="D71" s="3" t="s">
        <v>370</v>
      </c>
      <c r="E71" s="3" t="s">
        <v>363</v>
      </c>
      <c r="F71" s="3" t="str">
        <f aca="false">IFERROR(INDEX(ABC_XYZ!$L$5:$L$137,MATCH(A71,ABC_XYZ!$A$5:$A$137,0)),"SIN HIST")</f>
        <v>CX</v>
      </c>
      <c r="G71" s="24" t="n">
        <f aca="false">IF(LEFT(F71,1)="A",Parametros!$B$8,IF(LEFT(F71,1)="B",Parametros!$B$9,IF(LEFT(F71,1)="C",Parametros!$B$10,Parametros!$B$11)))</f>
        <v>0.9</v>
      </c>
      <c r="H71" s="27" t="n">
        <f aca="false">NORMSINV(G71)</f>
        <v>1.2815515655446</v>
      </c>
      <c r="I71" s="23" t="n">
        <v>3825</v>
      </c>
      <c r="J71" s="23" t="n">
        <f aca="false">IFERROR(INDEX(ABC_XYZ!$R$5:$R$137,MATCH(A71,ABC_XYZ!$A$5:$A$137,0)),I71*Parametros!$B$13)</f>
        <v>1011.68609560337</v>
      </c>
      <c r="K71" s="27" t="n">
        <f aca="false">IFERROR(VLOOKUP(C71,Parametros!$A$36:$B$41,2,FALSE()),Parametros!$B$12)</f>
        <v>1</v>
      </c>
      <c r="L71" s="23" t="n">
        <f aca="false">H71*J71*SQRT(K71)</f>
        <v>1296.5278996602</v>
      </c>
      <c r="M71" s="29" t="n">
        <v>365</v>
      </c>
      <c r="N71" s="24" t="n">
        <v>0.194520547945206</v>
      </c>
      <c r="O71" s="3" t="s">
        <v>364</v>
      </c>
      <c r="P71" s="30" t="n">
        <f aca="false">IF(AND(ISNUMBER(M71),ISNUMBER(N71)),M71*N71/7,"")</f>
        <v>10.1428571428571</v>
      </c>
      <c r="Q71" s="23" t="n">
        <f aca="false">IF(ISNUMBER(P71),I71*P71,"")</f>
        <v>38796.4285714286</v>
      </c>
      <c r="R71" s="23" t="n">
        <f aca="false">IF(ISNUMBER(Q71),MAX(0,MIN(L71,Q71-I71*K71)),L71)</f>
        <v>1296.5278996602</v>
      </c>
      <c r="S71" s="23" t="n">
        <f aca="false">R71+I71*K71</f>
        <v>5121.52789966021</v>
      </c>
      <c r="T71" s="23" t="n">
        <v>14448</v>
      </c>
      <c r="U71" s="23" t="n">
        <v>0</v>
      </c>
      <c r="V71" s="23" t="n">
        <f aca="false">T71+U71</f>
        <v>14448</v>
      </c>
      <c r="W71" s="30" t="n">
        <f aca="false">IF(I71&gt;0,V71/I71,"")</f>
        <v>3.77725490196078</v>
      </c>
      <c r="X71" s="3" t="str">
        <f aca="false">IF(I71&lt;=0,"SIN FCST",IF(V71&lt;R71,"BAJO SS",IF(T71&lt;R71,"BAJO SS (XLIB CUBRE)",IF(V71&lt;S71,"BAJO P.REORDEN",IF(AND(ISNUMBER(Q71),V71&gt;Q71),"SOBRE MAX VENDIBLE","OK")))))</f>
        <v>OK</v>
      </c>
    </row>
    <row r="72" customFormat="false" ht="15" hidden="false" customHeight="false" outlineLevel="0" collapsed="false">
      <c r="A72" s="3" t="n">
        <v>30000334</v>
      </c>
      <c r="B72" s="3" t="s">
        <v>409</v>
      </c>
      <c r="C72" s="3" t="s">
        <v>124</v>
      </c>
      <c r="D72" s="3" t="s">
        <v>362</v>
      </c>
      <c r="E72" s="3" t="s">
        <v>363</v>
      </c>
      <c r="F72" s="3" t="str">
        <f aca="false">IFERROR(INDEX(ABC_XYZ!$L$5:$L$137,MATCH(A72,ABC_XYZ!$A$5:$A$137,0)),"SIN HIST")</f>
        <v>CX</v>
      </c>
      <c r="G72" s="24" t="n">
        <f aca="false">IF(LEFT(F72,1)="A",Parametros!$B$8,IF(LEFT(F72,1)="B",Parametros!$B$9,IF(LEFT(F72,1)="C",Parametros!$B$10,Parametros!$B$11)))</f>
        <v>0.9</v>
      </c>
      <c r="H72" s="27" t="n">
        <f aca="false">NORMSINV(G72)</f>
        <v>1.2815515655446</v>
      </c>
      <c r="I72" s="23" t="n">
        <v>3381.5</v>
      </c>
      <c r="J72" s="23" t="n">
        <f aca="false">IFERROR(INDEX(ABC_XYZ!$R$5:$R$137,MATCH(A72,ABC_XYZ!$A$5:$A$137,0)),I72*Parametros!$B$13)</f>
        <v>1621.60986645495</v>
      </c>
      <c r="K72" s="27" t="n">
        <f aca="false">IFERROR(VLOOKUP(C72,Parametros!$A$36:$B$41,2,FALSE()),Parametros!$B$12)</f>
        <v>1</v>
      </c>
      <c r="L72" s="23" t="n">
        <f aca="false">H72*J72*SQRT(K72)</f>
        <v>2078.17666305791</v>
      </c>
      <c r="M72" s="29" t="n">
        <v>184</v>
      </c>
      <c r="N72" s="24" t="n">
        <v>0.271739130434783</v>
      </c>
      <c r="O72" s="3" t="s">
        <v>364</v>
      </c>
      <c r="P72" s="30" t="n">
        <f aca="false">IF(AND(ISNUMBER(M72),ISNUMBER(N72)),M72*N72/7,"")</f>
        <v>7.14285714285714</v>
      </c>
      <c r="Q72" s="23" t="n">
        <f aca="false">IF(ISNUMBER(P72),I72*P72,"")</f>
        <v>24153.5714285714</v>
      </c>
      <c r="R72" s="23" t="n">
        <f aca="false">IF(ISNUMBER(Q72),MAX(0,MIN(L72,Q72-I72*K72)),L72)</f>
        <v>2078.17666305791</v>
      </c>
      <c r="S72" s="23" t="n">
        <f aca="false">R72+I72*K72</f>
        <v>5459.67666305791</v>
      </c>
      <c r="T72" s="23" t="n">
        <v>5808</v>
      </c>
      <c r="U72" s="23" t="n">
        <v>6576</v>
      </c>
      <c r="V72" s="23" t="n">
        <f aca="false">T72+U72</f>
        <v>12384</v>
      </c>
      <c r="W72" s="30" t="n">
        <f aca="false">IF(I72&gt;0,V72/I72,"")</f>
        <v>3.66228005323082</v>
      </c>
      <c r="X72" s="3" t="str">
        <f aca="false">IF(I72&lt;=0,"SIN FCST",IF(V72&lt;R72,"BAJO SS",IF(T72&lt;R72,"BAJO SS (XLIB CUBRE)",IF(V72&lt;S72,"BAJO P.REORDEN",IF(AND(ISNUMBER(Q72),V72&gt;Q72),"SOBRE MAX VENDIBLE","OK")))))</f>
        <v>OK</v>
      </c>
    </row>
    <row r="73" customFormat="false" ht="15" hidden="false" customHeight="false" outlineLevel="0" collapsed="false">
      <c r="A73" s="3" t="n">
        <v>30002292</v>
      </c>
      <c r="B73" s="3" t="s">
        <v>265</v>
      </c>
      <c r="C73" s="3" t="s">
        <v>126</v>
      </c>
      <c r="D73" s="3" t="s">
        <v>370</v>
      </c>
      <c r="E73" s="3"/>
      <c r="F73" s="3" t="str">
        <f aca="false">IFERROR(INDEX(ABC_XYZ!$L$5:$L$137,MATCH(A73,ABC_XYZ!$A$5:$A$137,0)),"SIN HIST")</f>
        <v>CX</v>
      </c>
      <c r="G73" s="24" t="n">
        <f aca="false">IF(LEFT(F73,1)="A",Parametros!$B$8,IF(LEFT(F73,1)="B",Parametros!$B$9,IF(LEFT(F73,1)="C",Parametros!$B$10,Parametros!$B$11)))</f>
        <v>0.9</v>
      </c>
      <c r="H73" s="27" t="n">
        <f aca="false">NORMSINV(G73)</f>
        <v>1.2815515655446</v>
      </c>
      <c r="I73" s="23" t="n">
        <v>3272.6</v>
      </c>
      <c r="J73" s="23" t="n">
        <f aca="false">IFERROR(INDEX(ABC_XYZ!$R$5:$R$137,MATCH(A73,ABC_XYZ!$A$5:$A$137,0)),I73*Parametros!$B$13)</f>
        <v>1148.12706426143</v>
      </c>
      <c r="K73" s="27" t="n">
        <f aca="false">IFERROR(VLOOKUP(C73,Parametros!$A$36:$B$41,2,FALSE()),Parametros!$B$12)</f>
        <v>1</v>
      </c>
      <c r="L73" s="23" t="n">
        <f aca="false">H73*J73*SQRT(K73)</f>
        <v>1471.38403664836</v>
      </c>
      <c r="M73" s="29"/>
      <c r="N73" s="24"/>
      <c r="O73" s="3"/>
      <c r="P73" s="30" t="str">
        <f aca="false">IF(AND(ISNUMBER(M73),ISNUMBER(N73)),M73*N73/7,"")</f>
        <v/>
      </c>
      <c r="Q73" s="23" t="str">
        <f aca="false">IF(ISNUMBER(P73),I73*P73,"")</f>
        <v/>
      </c>
      <c r="R73" s="23" t="n">
        <f aca="false">IF(ISNUMBER(Q73),MAX(0,MIN(L73,Q73-I73*K73)),L73)</f>
        <v>1471.38403664836</v>
      </c>
      <c r="S73" s="23" t="n">
        <f aca="false">R73+I73*K73</f>
        <v>4743.98403664836</v>
      </c>
      <c r="T73" s="23" t="n">
        <v>7314</v>
      </c>
      <c r="U73" s="23" t="n">
        <v>0</v>
      </c>
      <c r="V73" s="23" t="n">
        <f aca="false">T73+U73</f>
        <v>7314</v>
      </c>
      <c r="W73" s="30" t="n">
        <f aca="false">IF(I73&gt;0,V73/I73,"")</f>
        <v>2.23492024689849</v>
      </c>
      <c r="X73" s="3" t="str">
        <f aca="false">IF(I73&lt;=0,"SIN FCST",IF(V73&lt;R73,"BAJO SS",IF(T73&lt;R73,"BAJO SS (XLIB CUBRE)",IF(V73&lt;S73,"BAJO P.REORDEN",IF(AND(ISNUMBER(Q73),V73&gt;Q73),"SOBRE MAX VENDIBLE","OK")))))</f>
        <v>OK</v>
      </c>
    </row>
    <row r="74" customFormat="false" ht="15" hidden="false" customHeight="false" outlineLevel="0" collapsed="false">
      <c r="A74" s="3" t="n">
        <v>30000245</v>
      </c>
      <c r="B74" s="3" t="s">
        <v>410</v>
      </c>
      <c r="C74" s="3" t="s">
        <v>126</v>
      </c>
      <c r="D74" s="3" t="s">
        <v>370</v>
      </c>
      <c r="E74" s="3" t="s">
        <v>363</v>
      </c>
      <c r="F74" s="3" t="str">
        <f aca="false">IFERROR(INDEX(ABC_XYZ!$L$5:$L$137,MATCH(A74,ABC_XYZ!$A$5:$A$137,0)),"SIN HIST")</f>
        <v>BX</v>
      </c>
      <c r="G74" s="24" t="n">
        <f aca="false">IF(LEFT(F74,1)="A",Parametros!$B$8,IF(LEFT(F74,1)="B",Parametros!$B$9,IF(LEFT(F74,1)="C",Parametros!$B$10,Parametros!$B$11)))</f>
        <v>0.95</v>
      </c>
      <c r="H74" s="27" t="n">
        <f aca="false">NORMSINV(G74)</f>
        <v>1.64485362695147</v>
      </c>
      <c r="I74" s="23" t="n">
        <v>3185</v>
      </c>
      <c r="J74" s="23" t="n">
        <f aca="false">IFERROR(INDEX(ABC_XYZ!$R$5:$R$137,MATCH(A74,ABC_XYZ!$A$5:$A$137,0)),I74*Parametros!$B$13)</f>
        <v>2127.55456668968</v>
      </c>
      <c r="K74" s="27" t="n">
        <f aca="false">IFERROR(VLOOKUP(C74,Parametros!$A$36:$B$41,2,FALSE()),Parametros!$B$12)</f>
        <v>1</v>
      </c>
      <c r="L74" s="23" t="n">
        <f aca="false">H74*J74*SQRT(K74)</f>
        <v>3499.51584555668</v>
      </c>
      <c r="M74" s="29" t="n">
        <v>365</v>
      </c>
      <c r="N74" s="24" t="n">
        <v>0.194520547945206</v>
      </c>
      <c r="O74" s="3" t="s">
        <v>364</v>
      </c>
      <c r="P74" s="30" t="n">
        <f aca="false">IF(AND(ISNUMBER(M74),ISNUMBER(N74)),M74*N74/7,"")</f>
        <v>10.1428571428571</v>
      </c>
      <c r="Q74" s="23" t="n">
        <f aca="false">IF(ISNUMBER(P74),I74*P74,"")</f>
        <v>32305</v>
      </c>
      <c r="R74" s="23" t="n">
        <f aca="false">IF(ISNUMBER(Q74),MAX(0,MIN(L74,Q74-I74*K74)),L74)</f>
        <v>3499.51584555668</v>
      </c>
      <c r="S74" s="23" t="n">
        <f aca="false">R74+I74*K74</f>
        <v>6684.51584555668</v>
      </c>
      <c r="T74" s="23" t="n">
        <v>32268</v>
      </c>
      <c r="U74" s="23" t="n">
        <v>0</v>
      </c>
      <c r="V74" s="23" t="n">
        <f aca="false">T74+U74</f>
        <v>32268</v>
      </c>
      <c r="W74" s="30" t="n">
        <f aca="false">IF(I74&gt;0,V74/I74,"")</f>
        <v>10.131240188383</v>
      </c>
      <c r="X74" s="3" t="str">
        <f aca="false">IF(I74&lt;=0,"SIN FCST",IF(V74&lt;R74,"BAJO SS",IF(T74&lt;R74,"BAJO SS (XLIB CUBRE)",IF(V74&lt;S74,"BAJO P.REORDEN",IF(AND(ISNUMBER(Q74),V74&gt;Q74),"SOBRE MAX VENDIBLE","OK")))))</f>
        <v>OK</v>
      </c>
    </row>
    <row r="75" customFormat="false" ht="15" hidden="false" customHeight="false" outlineLevel="0" collapsed="false">
      <c r="A75" s="3" t="n">
        <v>30001925</v>
      </c>
      <c r="B75" s="3" t="s">
        <v>283</v>
      </c>
      <c r="C75" s="3" t="s">
        <v>129</v>
      </c>
      <c r="D75" s="3" t="s">
        <v>370</v>
      </c>
      <c r="E75" s="3" t="s">
        <v>363</v>
      </c>
      <c r="F75" s="3" t="str">
        <f aca="false">IFERROR(INDEX(ABC_XYZ!$L$5:$L$137,MATCH(A75,ABC_XYZ!$A$5:$A$137,0)),"SIN HIST")</f>
        <v>CZ</v>
      </c>
      <c r="G75" s="24" t="n">
        <f aca="false">IF(LEFT(F75,1)="A",Parametros!$B$8,IF(LEFT(F75,1)="B",Parametros!$B$9,IF(LEFT(F75,1)="C",Parametros!$B$10,Parametros!$B$11)))</f>
        <v>0.9</v>
      </c>
      <c r="H75" s="27" t="n">
        <f aca="false">NORMSINV(G75)</f>
        <v>1.2815515655446</v>
      </c>
      <c r="I75" s="23" t="n">
        <v>3157</v>
      </c>
      <c r="J75" s="23" t="n">
        <f aca="false">IFERROR(INDEX(ABC_XYZ!$R$5:$R$137,MATCH(A75,ABC_XYZ!$A$5:$A$137,0)),I75*Parametros!$B$13)</f>
        <v>3213.94728543353</v>
      </c>
      <c r="K75" s="27" t="n">
        <f aca="false">IFERROR(VLOOKUP(C75,Parametros!$A$36:$B$41,2,FALSE()),Parametros!$B$12)</f>
        <v>1</v>
      </c>
      <c r="L75" s="23" t="n">
        <f aca="false">H75*J75*SQRT(K75)</f>
        <v>4118.83917522517</v>
      </c>
      <c r="M75" s="29" t="n">
        <v>214</v>
      </c>
      <c r="N75" s="24" t="n">
        <v>0.266355140186916</v>
      </c>
      <c r="O75" s="3" t="s">
        <v>371</v>
      </c>
      <c r="P75" s="30" t="n">
        <f aca="false">IF(AND(ISNUMBER(M75),ISNUMBER(N75)),M75*N75/7,"")</f>
        <v>8.14285714285714</v>
      </c>
      <c r="Q75" s="23" t="n">
        <f aca="false">IF(ISNUMBER(P75),I75*P75,"")</f>
        <v>25707</v>
      </c>
      <c r="R75" s="23" t="n">
        <f aca="false">IF(ISNUMBER(Q75),MAX(0,MIN(L75,Q75-I75*K75)),L75)</f>
        <v>4118.83917522517</v>
      </c>
      <c r="S75" s="23" t="n">
        <f aca="false">R75+I75*K75</f>
        <v>7275.83917522517</v>
      </c>
      <c r="T75" s="23" t="n">
        <v>32654.2</v>
      </c>
      <c r="U75" s="23" t="n">
        <v>0</v>
      </c>
      <c r="V75" s="23" t="n">
        <f aca="false">T75+U75</f>
        <v>32654.2</v>
      </c>
      <c r="W75" s="30" t="n">
        <f aca="false">IF(I75&gt;0,V75/I75,"")</f>
        <v>10.3434273044029</v>
      </c>
      <c r="X75" s="3" t="str">
        <f aca="false">IF(I75&lt;=0,"SIN FCST",IF(V75&lt;R75,"BAJO SS",IF(T75&lt;R75,"BAJO SS (XLIB CUBRE)",IF(V75&lt;S75,"BAJO P.REORDEN",IF(AND(ISNUMBER(Q75),V75&gt;Q75),"SOBRE MAX VENDIBLE","OK")))))</f>
        <v>SOBRE MAX VENDIBLE</v>
      </c>
    </row>
    <row r="76" customFormat="false" ht="15" hidden="false" customHeight="false" outlineLevel="0" collapsed="false">
      <c r="A76" s="3" t="n">
        <v>30002326</v>
      </c>
      <c r="B76" s="3" t="s">
        <v>411</v>
      </c>
      <c r="C76" s="3" t="s">
        <v>124</v>
      </c>
      <c r="D76" s="3" t="s">
        <v>370</v>
      </c>
      <c r="E76" s="3"/>
      <c r="F76" s="3" t="str">
        <f aca="false">IFERROR(INDEX(ABC_XYZ!$L$5:$L$137,MATCH(A76,ABC_XYZ!$A$5:$A$137,0)),"SIN HIST")</f>
        <v>CZ</v>
      </c>
      <c r="G76" s="24" t="n">
        <f aca="false">IF(LEFT(F76,1)="A",Parametros!$B$8,IF(LEFT(F76,1)="B",Parametros!$B$9,IF(LEFT(F76,1)="C",Parametros!$B$10,Parametros!$B$11)))</f>
        <v>0.9</v>
      </c>
      <c r="H76" s="27" t="n">
        <f aca="false">NORMSINV(G76)</f>
        <v>1.2815515655446</v>
      </c>
      <c r="I76" s="23" t="n">
        <v>3125</v>
      </c>
      <c r="J76" s="23" t="n">
        <f aca="false">IFERROR(INDEX(ABC_XYZ!$R$5:$R$137,MATCH(A76,ABC_XYZ!$A$5:$A$137,0)),I76*Parametros!$B$13)</f>
        <v>2974.43185051084</v>
      </c>
      <c r="K76" s="27" t="n">
        <f aca="false">IFERROR(VLOOKUP(C76,Parametros!$A$36:$B$41,2,FALSE()),Parametros!$B$12)</f>
        <v>1</v>
      </c>
      <c r="L76" s="23" t="n">
        <f aca="false">H76*J76*SQRT(K76)</f>
        <v>3811.88779462789</v>
      </c>
      <c r="M76" s="29"/>
      <c r="N76" s="24"/>
      <c r="O76" s="3"/>
      <c r="P76" s="30" t="str">
        <f aca="false">IF(AND(ISNUMBER(M76),ISNUMBER(N76)),M76*N76/7,"")</f>
        <v/>
      </c>
      <c r="Q76" s="23" t="str">
        <f aca="false">IF(ISNUMBER(P76),I76*P76,"")</f>
        <v/>
      </c>
      <c r="R76" s="23" t="n">
        <f aca="false">IF(ISNUMBER(Q76),MAX(0,MIN(L76,Q76-I76*K76)),L76)</f>
        <v>3811.88779462789</v>
      </c>
      <c r="S76" s="23" t="n">
        <f aca="false">R76+I76*K76</f>
        <v>6936.88779462789</v>
      </c>
      <c r="T76" s="23" t="n">
        <v>9940.5</v>
      </c>
      <c r="U76" s="23" t="n">
        <v>0</v>
      </c>
      <c r="V76" s="23" t="n">
        <f aca="false">T76+U76</f>
        <v>9940.5</v>
      </c>
      <c r="W76" s="30" t="n">
        <f aca="false">IF(I76&gt;0,V76/I76,"")</f>
        <v>3.18096</v>
      </c>
      <c r="X76" s="3" t="str">
        <f aca="false">IF(I76&lt;=0,"SIN FCST",IF(V76&lt;R76,"BAJO SS",IF(T76&lt;R76,"BAJO SS (XLIB CUBRE)",IF(V76&lt;S76,"BAJO P.REORDEN",IF(AND(ISNUMBER(Q76),V76&gt;Q76),"SOBRE MAX VENDIBLE","OK")))))</f>
        <v>OK</v>
      </c>
    </row>
    <row r="77" customFormat="false" ht="15" hidden="false" customHeight="false" outlineLevel="0" collapsed="false">
      <c r="A77" s="3" t="n">
        <v>30001976</v>
      </c>
      <c r="B77" s="3" t="s">
        <v>263</v>
      </c>
      <c r="C77" s="3" t="s">
        <v>129</v>
      </c>
      <c r="D77" s="3" t="s">
        <v>370</v>
      </c>
      <c r="E77" s="3" t="s">
        <v>363</v>
      </c>
      <c r="F77" s="3" t="str">
        <f aca="false">IFERROR(INDEX(ABC_XYZ!$L$5:$L$137,MATCH(A77,ABC_XYZ!$A$5:$A$137,0)),"SIN HIST")</f>
        <v>CX</v>
      </c>
      <c r="G77" s="24" t="n">
        <f aca="false">IF(LEFT(F77,1)="A",Parametros!$B$8,IF(LEFT(F77,1)="B",Parametros!$B$9,IF(LEFT(F77,1)="C",Parametros!$B$10,Parametros!$B$11)))</f>
        <v>0.9</v>
      </c>
      <c r="H77" s="27" t="n">
        <f aca="false">NORMSINV(G77)</f>
        <v>1.2815515655446</v>
      </c>
      <c r="I77" s="23" t="n">
        <v>3065.4</v>
      </c>
      <c r="J77" s="23" t="n">
        <f aca="false">IFERROR(INDEX(ABC_XYZ!$R$5:$R$137,MATCH(A77,ABC_XYZ!$A$5:$A$137,0)),I77*Parametros!$B$13)</f>
        <v>1682.54432266297</v>
      </c>
      <c r="K77" s="27" t="n">
        <f aca="false">IFERROR(VLOOKUP(C77,Parametros!$A$36:$B$41,2,FALSE()),Parametros!$B$12)</f>
        <v>1</v>
      </c>
      <c r="L77" s="23" t="n">
        <f aca="false">H77*J77*SQRT(K77)</f>
        <v>2156.26731080691</v>
      </c>
      <c r="M77" s="29" t="n">
        <v>365</v>
      </c>
      <c r="N77" s="24" t="n">
        <v>0.498630136986301</v>
      </c>
      <c r="O77" s="3" t="s">
        <v>364</v>
      </c>
      <c r="P77" s="30" t="n">
        <f aca="false">IF(AND(ISNUMBER(M77),ISNUMBER(N77)),M77*N77/7,"")</f>
        <v>26</v>
      </c>
      <c r="Q77" s="23" t="n">
        <f aca="false">IF(ISNUMBER(P77),I77*P77,"")</f>
        <v>79700.4</v>
      </c>
      <c r="R77" s="23" t="n">
        <f aca="false">IF(ISNUMBER(Q77),MAX(0,MIN(L77,Q77-I77*K77)),L77)</f>
        <v>2156.26731080691</v>
      </c>
      <c r="S77" s="23" t="n">
        <f aca="false">R77+I77*K77</f>
        <v>5221.66731080691</v>
      </c>
      <c r="T77" s="23" t="n">
        <v>19848</v>
      </c>
      <c r="U77" s="23" t="n">
        <v>0</v>
      </c>
      <c r="V77" s="23" t="n">
        <f aca="false">T77+U77</f>
        <v>19848</v>
      </c>
      <c r="W77" s="30" t="n">
        <f aca="false">IF(I77&gt;0,V77/I77,"")</f>
        <v>6.47484830690938</v>
      </c>
      <c r="X77" s="3" t="str">
        <f aca="false">IF(I77&lt;=0,"SIN FCST",IF(V77&lt;R77,"BAJO SS",IF(T77&lt;R77,"BAJO SS (XLIB CUBRE)",IF(V77&lt;S77,"BAJO P.REORDEN",IF(AND(ISNUMBER(Q77),V77&gt;Q77),"SOBRE MAX VENDIBLE","OK")))))</f>
        <v>OK</v>
      </c>
    </row>
    <row r="78" customFormat="false" ht="15" hidden="false" customHeight="false" outlineLevel="0" collapsed="false">
      <c r="A78" s="3" t="n">
        <v>30002229</v>
      </c>
      <c r="B78" s="3" t="s">
        <v>235</v>
      </c>
      <c r="C78" s="3" t="s">
        <v>126</v>
      </c>
      <c r="D78" s="3" t="s">
        <v>370</v>
      </c>
      <c r="E78" s="3"/>
      <c r="F78" s="3" t="str">
        <f aca="false">IFERROR(INDEX(ABC_XYZ!$L$5:$L$137,MATCH(A78,ABC_XYZ!$A$5:$A$137,0)),"SIN HIST")</f>
        <v>BY</v>
      </c>
      <c r="G78" s="24" t="n">
        <f aca="false">IF(LEFT(F78,1)="A",Parametros!$B$8,IF(LEFT(F78,1)="B",Parametros!$B$9,IF(LEFT(F78,1)="C",Parametros!$B$10,Parametros!$B$11)))</f>
        <v>0.95</v>
      </c>
      <c r="H78" s="27" t="n">
        <f aca="false">NORMSINV(G78)</f>
        <v>1.64485362695147</v>
      </c>
      <c r="I78" s="23" t="n">
        <v>3044.8</v>
      </c>
      <c r="J78" s="23" t="n">
        <f aca="false">IFERROR(INDEX(ABC_XYZ!$R$5:$R$137,MATCH(A78,ABC_XYZ!$A$5:$A$137,0)),I78*Parametros!$B$13)</f>
        <v>3936.28363281446</v>
      </c>
      <c r="K78" s="27" t="n">
        <f aca="false">IFERROR(VLOOKUP(C78,Parametros!$A$36:$B$41,2,FALSE()),Parametros!$B$12)</f>
        <v>1</v>
      </c>
      <c r="L78" s="23" t="n">
        <f aca="false">H78*J78*SQRT(K78)</f>
        <v>6474.61041014457</v>
      </c>
      <c r="M78" s="29" t="n">
        <v>365</v>
      </c>
      <c r="N78" s="24" t="n">
        <v>0.273972602739726</v>
      </c>
      <c r="O78" s="3" t="s">
        <v>364</v>
      </c>
      <c r="P78" s="30" t="n">
        <f aca="false">IF(AND(ISNUMBER(M78),ISNUMBER(N78)),M78*N78/7,"")</f>
        <v>14.2857142857143</v>
      </c>
      <c r="Q78" s="23" t="n">
        <f aca="false">IF(ISNUMBER(P78),I78*P78,"")</f>
        <v>43497.1428571429</v>
      </c>
      <c r="R78" s="23" t="n">
        <f aca="false">IF(ISNUMBER(Q78),MAX(0,MIN(L78,Q78-I78*K78)),L78)</f>
        <v>6474.61041014457</v>
      </c>
      <c r="S78" s="23" t="n">
        <f aca="false">R78+I78*K78</f>
        <v>9519.41041014457</v>
      </c>
      <c r="T78" s="23" t="n">
        <v>90798.2</v>
      </c>
      <c r="U78" s="23" t="n">
        <v>0</v>
      </c>
      <c r="V78" s="23" t="n">
        <f aca="false">T78+U78</f>
        <v>90798.2</v>
      </c>
      <c r="W78" s="30" t="n">
        <f aca="false">IF(I78&gt;0,V78/I78,"")</f>
        <v>29.8207435627956</v>
      </c>
      <c r="X78" s="3" t="str">
        <f aca="false">IF(I78&lt;=0,"SIN FCST",IF(V78&lt;R78,"BAJO SS",IF(T78&lt;R78,"BAJO SS (XLIB CUBRE)",IF(V78&lt;S78,"BAJO P.REORDEN",IF(AND(ISNUMBER(Q78),V78&gt;Q78),"SOBRE MAX VENDIBLE","OK")))))</f>
        <v>SOBRE MAX VENDIBLE</v>
      </c>
    </row>
    <row r="79" customFormat="false" ht="15" hidden="false" customHeight="false" outlineLevel="0" collapsed="false">
      <c r="A79" s="3" t="n">
        <v>30000248</v>
      </c>
      <c r="B79" s="3" t="s">
        <v>412</v>
      </c>
      <c r="C79" s="3" t="s">
        <v>126</v>
      </c>
      <c r="D79" s="3" t="s">
        <v>370</v>
      </c>
      <c r="E79" s="3" t="s">
        <v>363</v>
      </c>
      <c r="F79" s="3" t="str">
        <f aca="false">IFERROR(INDEX(ABC_XYZ!$L$5:$L$137,MATCH(A79,ABC_XYZ!$A$5:$A$137,0)),"SIN HIST")</f>
        <v>CX</v>
      </c>
      <c r="G79" s="24" t="n">
        <f aca="false">IF(LEFT(F79,1)="A",Parametros!$B$8,IF(LEFT(F79,1)="B",Parametros!$B$9,IF(LEFT(F79,1)="C",Parametros!$B$10,Parametros!$B$11)))</f>
        <v>0.9</v>
      </c>
      <c r="H79" s="27" t="n">
        <f aca="false">NORMSINV(G79)</f>
        <v>1.2815515655446</v>
      </c>
      <c r="I79" s="23" t="n">
        <v>2992.5</v>
      </c>
      <c r="J79" s="23" t="n">
        <f aca="false">IFERROR(INDEX(ABC_XYZ!$R$5:$R$137,MATCH(A79,ABC_XYZ!$A$5:$A$137,0)),I79*Parametros!$B$13)</f>
        <v>821.834454304876</v>
      </c>
      <c r="K79" s="27" t="n">
        <f aca="false">IFERROR(VLOOKUP(C79,Parametros!$A$36:$B$41,2,FALSE()),Parametros!$B$12)</f>
        <v>1</v>
      </c>
      <c r="L79" s="23" t="n">
        <f aca="false">H79*J79*SQRT(K79)</f>
        <v>1053.22323153291</v>
      </c>
      <c r="M79" s="29" t="n">
        <v>365</v>
      </c>
      <c r="N79" s="24" t="n">
        <v>0.194520547945206</v>
      </c>
      <c r="O79" s="3" t="s">
        <v>364</v>
      </c>
      <c r="P79" s="30" t="n">
        <f aca="false">IF(AND(ISNUMBER(M79),ISNUMBER(N79)),M79*N79/7,"")</f>
        <v>10.1428571428571</v>
      </c>
      <c r="Q79" s="23" t="n">
        <f aca="false">IF(ISNUMBER(P79),I79*P79,"")</f>
        <v>30352.5</v>
      </c>
      <c r="R79" s="23" t="n">
        <f aca="false">IF(ISNUMBER(Q79),MAX(0,MIN(L79,Q79-I79*K79)),L79)</f>
        <v>1053.22323153291</v>
      </c>
      <c r="S79" s="23" t="n">
        <f aca="false">R79+I79*K79</f>
        <v>4045.72323153291</v>
      </c>
      <c r="T79" s="23" t="n">
        <v>18120</v>
      </c>
      <c r="U79" s="23" t="n">
        <v>0</v>
      </c>
      <c r="V79" s="23" t="n">
        <f aca="false">T79+U79</f>
        <v>18120</v>
      </c>
      <c r="W79" s="30" t="n">
        <f aca="false">IF(I79&gt;0,V79/I79,"")</f>
        <v>6.05513784461153</v>
      </c>
      <c r="X79" s="3" t="str">
        <f aca="false">IF(I79&lt;=0,"SIN FCST",IF(V79&lt;R79,"BAJO SS",IF(T79&lt;R79,"BAJO SS (XLIB CUBRE)",IF(V79&lt;S79,"BAJO P.REORDEN",IF(AND(ISNUMBER(Q79),V79&gt;Q79),"SOBRE MAX VENDIBLE","OK")))))</f>
        <v>OK</v>
      </c>
    </row>
    <row r="80" customFormat="false" ht="15" hidden="false" customHeight="false" outlineLevel="0" collapsed="false">
      <c r="A80" s="3" t="n">
        <v>30000421</v>
      </c>
      <c r="B80" s="3" t="s">
        <v>267</v>
      </c>
      <c r="C80" s="3" t="s">
        <v>129</v>
      </c>
      <c r="D80" s="3" t="s">
        <v>370</v>
      </c>
      <c r="E80" s="3" t="s">
        <v>363</v>
      </c>
      <c r="F80" s="3" t="str">
        <f aca="false">IFERROR(INDEX(ABC_XYZ!$L$5:$L$137,MATCH(A80,ABC_XYZ!$A$5:$A$137,0)),"SIN HIST")</f>
        <v>CX</v>
      </c>
      <c r="G80" s="24" t="n">
        <f aca="false">IF(LEFT(F80,1)="A",Parametros!$B$8,IF(LEFT(F80,1)="B",Parametros!$B$9,IF(LEFT(F80,1)="C",Parametros!$B$10,Parametros!$B$11)))</f>
        <v>0.9</v>
      </c>
      <c r="H80" s="27" t="n">
        <f aca="false">NORMSINV(G80)</f>
        <v>1.2815515655446</v>
      </c>
      <c r="I80" s="23" t="n">
        <v>2880.2</v>
      </c>
      <c r="J80" s="23" t="n">
        <f aca="false">IFERROR(INDEX(ABC_XYZ!$R$5:$R$137,MATCH(A80,ABC_XYZ!$A$5:$A$137,0)),I80*Parametros!$B$13)</f>
        <v>514.109597625779</v>
      </c>
      <c r="K80" s="27" t="n">
        <f aca="false">IFERROR(VLOOKUP(C80,Parametros!$A$36:$B$41,2,FALSE()),Parametros!$B$12)</f>
        <v>1</v>
      </c>
      <c r="L80" s="23" t="n">
        <f aca="false">H80*J80*SQRT(K80)</f>
        <v>658.857959698821</v>
      </c>
      <c r="M80" s="29" t="n">
        <v>189</v>
      </c>
      <c r="N80" s="24" t="n">
        <v>0.259259259259259</v>
      </c>
      <c r="O80" s="3" t="s">
        <v>364</v>
      </c>
      <c r="P80" s="30" t="n">
        <f aca="false">IF(AND(ISNUMBER(M80),ISNUMBER(N80)),M80*N80/7,"")</f>
        <v>7</v>
      </c>
      <c r="Q80" s="23" t="n">
        <f aca="false">IF(ISNUMBER(P80),I80*P80,"")</f>
        <v>20161.4</v>
      </c>
      <c r="R80" s="23" t="n">
        <f aca="false">IF(ISNUMBER(Q80),MAX(0,MIN(L80,Q80-I80*K80)),L80)</f>
        <v>658.857959698821</v>
      </c>
      <c r="S80" s="23" t="n">
        <f aca="false">R80+I80*K80</f>
        <v>3539.05795969882</v>
      </c>
      <c r="T80" s="23" t="n">
        <v>10332</v>
      </c>
      <c r="U80" s="23" t="n">
        <v>0</v>
      </c>
      <c r="V80" s="23" t="n">
        <f aca="false">T80+U80</f>
        <v>10332</v>
      </c>
      <c r="W80" s="30" t="n">
        <f aca="false">IF(I80&gt;0,V80/I80,"")</f>
        <v>3.58725088535518</v>
      </c>
      <c r="X80" s="3" t="str">
        <f aca="false">IF(I80&lt;=0,"SIN FCST",IF(V80&lt;R80,"BAJO SS",IF(T80&lt;R80,"BAJO SS (XLIB CUBRE)",IF(V80&lt;S80,"BAJO P.REORDEN",IF(AND(ISNUMBER(Q80),V80&gt;Q80),"SOBRE MAX VENDIBLE","OK")))))</f>
        <v>OK</v>
      </c>
    </row>
    <row r="81" customFormat="false" ht="15" hidden="false" customHeight="false" outlineLevel="0" collapsed="false">
      <c r="A81" s="3" t="n">
        <v>30002359</v>
      </c>
      <c r="B81" s="3" t="s">
        <v>413</v>
      </c>
      <c r="C81" s="3" t="s">
        <v>129</v>
      </c>
      <c r="D81" s="3"/>
      <c r="E81" s="3"/>
      <c r="F81" s="3" t="str">
        <f aca="false">IFERROR(INDEX(ABC_XYZ!$L$5:$L$137,MATCH(A81,ABC_XYZ!$A$5:$A$137,0)),"SIN HIST")</f>
        <v>BX</v>
      </c>
      <c r="G81" s="24" t="n">
        <f aca="false">IF(LEFT(F81,1)="A",Parametros!$B$8,IF(LEFT(F81,1)="B",Parametros!$B$9,IF(LEFT(F81,1)="C",Parametros!$B$10,Parametros!$B$11)))</f>
        <v>0.95</v>
      </c>
      <c r="H81" s="27" t="n">
        <f aca="false">NORMSINV(G81)</f>
        <v>1.64485362695147</v>
      </c>
      <c r="I81" s="23" t="n">
        <v>2775.4</v>
      </c>
      <c r="J81" s="23" t="n">
        <f aca="false">IFERROR(INDEX(ABC_XYZ!$R$5:$R$137,MATCH(A81,ABC_XYZ!$A$5:$A$137,0)),I81*Parametros!$B$13)</f>
        <v>1563.46497157299</v>
      </c>
      <c r="K81" s="27" t="n">
        <f aca="false">IFERROR(VLOOKUP(C81,Parametros!$A$36:$B$41,2,FALSE()),Parametros!$B$12)</f>
        <v>1</v>
      </c>
      <c r="L81" s="23" t="n">
        <f aca="false">H81*J81*SQRT(K81)</f>
        <v>2571.67102910341</v>
      </c>
      <c r="M81" s="29"/>
      <c r="N81" s="24"/>
      <c r="O81" s="3"/>
      <c r="P81" s="30" t="str">
        <f aca="false">IF(AND(ISNUMBER(M81),ISNUMBER(N81)),M81*N81/7,"")</f>
        <v/>
      </c>
      <c r="Q81" s="23" t="str">
        <f aca="false">IF(ISNUMBER(P81),I81*P81,"")</f>
        <v/>
      </c>
      <c r="R81" s="23" t="n">
        <f aca="false">IF(ISNUMBER(Q81),MAX(0,MIN(L81,Q81-I81*K81)),L81)</f>
        <v>2571.67102910341</v>
      </c>
      <c r="S81" s="23" t="n">
        <f aca="false">R81+I81*K81</f>
        <v>5347.07102910341</v>
      </c>
      <c r="T81" s="23" t="n">
        <v>876</v>
      </c>
      <c r="U81" s="23" t="n">
        <v>0</v>
      </c>
      <c r="V81" s="23" t="n">
        <f aca="false">T81+U81</f>
        <v>876</v>
      </c>
      <c r="W81" s="30" t="n">
        <f aca="false">IF(I81&gt;0,V81/I81,"")</f>
        <v>0.315630179433595</v>
      </c>
      <c r="X81" s="3" t="str">
        <f aca="false">IF(I81&lt;=0,"SIN FCST",IF(V81&lt;R81,"BAJO SS",IF(T81&lt;R81,"BAJO SS (XLIB CUBRE)",IF(V81&lt;S81,"BAJO P.REORDEN",IF(AND(ISNUMBER(Q81),V81&gt;Q81),"SOBRE MAX VENDIBLE","OK")))))</f>
        <v>BAJO SS</v>
      </c>
    </row>
    <row r="82" customFormat="false" ht="15" hidden="false" customHeight="false" outlineLevel="0" collapsed="false">
      <c r="A82" s="3" t="n">
        <v>30000327</v>
      </c>
      <c r="B82" s="3" t="s">
        <v>414</v>
      </c>
      <c r="C82" s="3" t="s">
        <v>129</v>
      </c>
      <c r="D82" s="3" t="s">
        <v>370</v>
      </c>
      <c r="E82" s="3" t="s">
        <v>363</v>
      </c>
      <c r="F82" s="3" t="str">
        <f aca="false">IFERROR(INDEX(ABC_XYZ!$L$5:$L$137,MATCH(A82,ABC_XYZ!$A$5:$A$137,0)),"SIN HIST")</f>
        <v>CY</v>
      </c>
      <c r="G82" s="24" t="n">
        <f aca="false">IF(LEFT(F82,1)="A",Parametros!$B$8,IF(LEFT(F82,1)="B",Parametros!$B$9,IF(LEFT(F82,1)="C",Parametros!$B$10,Parametros!$B$11)))</f>
        <v>0.9</v>
      </c>
      <c r="H82" s="27" t="n">
        <f aca="false">NORMSINV(G82)</f>
        <v>1.2815515655446</v>
      </c>
      <c r="I82" s="23" t="n">
        <v>2404.7</v>
      </c>
      <c r="J82" s="23" t="n">
        <f aca="false">IFERROR(INDEX(ABC_XYZ!$R$5:$R$137,MATCH(A82,ABC_XYZ!$A$5:$A$137,0)),I82*Parametros!$B$13)</f>
        <v>3094.29174473467</v>
      </c>
      <c r="K82" s="27" t="n">
        <f aca="false">IFERROR(VLOOKUP(C82,Parametros!$A$36:$B$41,2,FALSE()),Parametros!$B$12)</f>
        <v>1</v>
      </c>
      <c r="L82" s="23" t="n">
        <f aca="false">H82*J82*SQRT(K82)</f>
        <v>3965.49442971645</v>
      </c>
      <c r="M82" s="29" t="n">
        <v>189</v>
      </c>
      <c r="N82" s="24" t="n">
        <v>0.333333333333333</v>
      </c>
      <c r="O82" s="3" t="s">
        <v>384</v>
      </c>
      <c r="P82" s="30" t="n">
        <f aca="false">IF(AND(ISNUMBER(M82),ISNUMBER(N82)),M82*N82/7,"")</f>
        <v>9</v>
      </c>
      <c r="Q82" s="23" t="n">
        <f aca="false">IF(ISNUMBER(P82),I82*P82,"")</f>
        <v>21642.3</v>
      </c>
      <c r="R82" s="23" t="n">
        <f aca="false">IF(ISNUMBER(Q82),MAX(0,MIN(L82,Q82-I82*K82)),L82)</f>
        <v>3965.49442971645</v>
      </c>
      <c r="S82" s="23" t="n">
        <f aca="false">R82+I82*K82</f>
        <v>6370.19442971645</v>
      </c>
      <c r="T82" s="23" t="n">
        <v>14904</v>
      </c>
      <c r="U82" s="23" t="n">
        <v>0</v>
      </c>
      <c r="V82" s="23" t="n">
        <f aca="false">T82+U82</f>
        <v>14904</v>
      </c>
      <c r="W82" s="30" t="n">
        <f aca="false">IF(I82&gt;0,V82/I82,"")</f>
        <v>6.19786251923317</v>
      </c>
      <c r="X82" s="3" t="str">
        <f aca="false">IF(I82&lt;=0,"SIN FCST",IF(V82&lt;R82,"BAJO SS",IF(T82&lt;R82,"BAJO SS (XLIB CUBRE)",IF(V82&lt;S82,"BAJO P.REORDEN",IF(AND(ISNUMBER(Q82),V82&gt;Q82),"SOBRE MAX VENDIBLE","OK")))))</f>
        <v>OK</v>
      </c>
    </row>
    <row r="83" customFormat="false" ht="15" hidden="false" customHeight="false" outlineLevel="0" collapsed="false">
      <c r="A83" s="3" t="n">
        <v>30002178</v>
      </c>
      <c r="B83" s="3" t="s">
        <v>277</v>
      </c>
      <c r="C83" s="3" t="s">
        <v>129</v>
      </c>
      <c r="D83" s="3" t="s">
        <v>370</v>
      </c>
      <c r="E83" s="3"/>
      <c r="F83" s="3" t="str">
        <f aca="false">IFERROR(INDEX(ABC_XYZ!$L$5:$L$137,MATCH(A83,ABC_XYZ!$A$5:$A$137,0)),"SIN HIST")</f>
        <v>CX</v>
      </c>
      <c r="G83" s="24" t="n">
        <f aca="false">IF(LEFT(F83,1)="A",Parametros!$B$8,IF(LEFT(F83,1)="B",Parametros!$B$9,IF(LEFT(F83,1)="C",Parametros!$B$10,Parametros!$B$11)))</f>
        <v>0.9</v>
      </c>
      <c r="H83" s="27" t="n">
        <f aca="false">NORMSINV(G83)</f>
        <v>1.2815515655446</v>
      </c>
      <c r="I83" s="23" t="n">
        <v>2294.1</v>
      </c>
      <c r="J83" s="23" t="n">
        <f aca="false">IFERROR(INDEX(ABC_XYZ!$R$5:$R$137,MATCH(A83,ABC_XYZ!$A$5:$A$137,0)),I83*Parametros!$B$13)</f>
        <v>648.64718593534</v>
      </c>
      <c r="K83" s="27" t="n">
        <f aca="false">IFERROR(VLOOKUP(C83,Parametros!$A$36:$B$41,2,FALSE()),Parametros!$B$12)</f>
        <v>1</v>
      </c>
      <c r="L83" s="23" t="n">
        <f aca="false">H83*J83*SQRT(K83)</f>
        <v>831.274816621534</v>
      </c>
      <c r="M83" s="29" t="n">
        <v>245</v>
      </c>
      <c r="N83" s="24" t="n">
        <v>0.19</v>
      </c>
      <c r="O83" s="3" t="s">
        <v>364</v>
      </c>
      <c r="P83" s="30" t="n">
        <f aca="false">IF(AND(ISNUMBER(M83),ISNUMBER(N83)),M83*N83/7,"")</f>
        <v>6.65</v>
      </c>
      <c r="Q83" s="23" t="n">
        <f aca="false">IF(ISNUMBER(P83),I83*P83,"")</f>
        <v>15255.765</v>
      </c>
      <c r="R83" s="23" t="n">
        <f aca="false">IF(ISNUMBER(Q83),MAX(0,MIN(L83,Q83-I83*K83)),L83)</f>
        <v>831.274816621534</v>
      </c>
      <c r="S83" s="23" t="n">
        <f aca="false">R83+I83*K83</f>
        <v>3125.37481662153</v>
      </c>
      <c r="T83" s="23" t="n">
        <v>9171.3</v>
      </c>
      <c r="U83" s="23" t="n">
        <v>0</v>
      </c>
      <c r="V83" s="23" t="n">
        <f aca="false">T83+U83</f>
        <v>9171.3</v>
      </c>
      <c r="W83" s="30" t="n">
        <f aca="false">IF(I83&gt;0,V83/I83,"")</f>
        <v>3.9977769059762</v>
      </c>
      <c r="X83" s="3" t="str">
        <f aca="false">IF(I83&lt;=0,"SIN FCST",IF(V83&lt;R83,"BAJO SS",IF(T83&lt;R83,"BAJO SS (XLIB CUBRE)",IF(V83&lt;S83,"BAJO P.REORDEN",IF(AND(ISNUMBER(Q83),V83&gt;Q83),"SOBRE MAX VENDIBLE","OK")))))</f>
        <v>OK</v>
      </c>
    </row>
    <row r="84" customFormat="false" ht="15" hidden="false" customHeight="false" outlineLevel="0" collapsed="false">
      <c r="A84" s="3" t="n">
        <v>30002358</v>
      </c>
      <c r="B84" s="3" t="s">
        <v>415</v>
      </c>
      <c r="C84" s="3" t="s">
        <v>129</v>
      </c>
      <c r="D84" s="3"/>
      <c r="E84" s="3"/>
      <c r="F84" s="3" t="str">
        <f aca="false">IFERROR(INDEX(ABC_XYZ!$L$5:$L$137,MATCH(A84,ABC_XYZ!$A$5:$A$137,0)),"SIN HIST")</f>
        <v>CX</v>
      </c>
      <c r="G84" s="24" t="n">
        <f aca="false">IF(LEFT(F84,1)="A",Parametros!$B$8,IF(LEFT(F84,1)="B",Parametros!$B$9,IF(LEFT(F84,1)="C",Parametros!$B$10,Parametros!$B$11)))</f>
        <v>0.9</v>
      </c>
      <c r="H84" s="27" t="n">
        <f aca="false">NORMSINV(G84)</f>
        <v>1.2815515655446</v>
      </c>
      <c r="I84" s="23" t="n">
        <v>2191.8</v>
      </c>
      <c r="J84" s="23" t="n">
        <f aca="false">IFERROR(INDEX(ABC_XYZ!$R$5:$R$137,MATCH(A84,ABC_XYZ!$A$5:$A$137,0)),I84*Parametros!$B$13)</f>
        <v>603.596392104976</v>
      </c>
      <c r="K84" s="27" t="n">
        <f aca="false">IFERROR(VLOOKUP(C84,Parametros!$A$36:$B$41,2,FALSE()),Parametros!$B$12)</f>
        <v>1</v>
      </c>
      <c r="L84" s="23" t="n">
        <f aca="false">H84*J84*SQRT(K84)</f>
        <v>773.539901259205</v>
      </c>
      <c r="M84" s="29"/>
      <c r="N84" s="24"/>
      <c r="O84" s="3"/>
      <c r="P84" s="30" t="str">
        <f aca="false">IF(AND(ISNUMBER(M84),ISNUMBER(N84)),M84*N84/7,"")</f>
        <v/>
      </c>
      <c r="Q84" s="23" t="str">
        <f aca="false">IF(ISNUMBER(P84),I84*P84,"")</f>
        <v/>
      </c>
      <c r="R84" s="23" t="n">
        <f aca="false">IF(ISNUMBER(Q84),MAX(0,MIN(L84,Q84-I84*K84)),L84)</f>
        <v>773.539901259205</v>
      </c>
      <c r="S84" s="23" t="n">
        <f aca="false">R84+I84*K84</f>
        <v>2965.33990125921</v>
      </c>
      <c r="T84" s="23" t="n">
        <v>10278</v>
      </c>
      <c r="U84" s="23" t="n">
        <v>0</v>
      </c>
      <c r="V84" s="23" t="n">
        <f aca="false">T84+U84</f>
        <v>10278</v>
      </c>
      <c r="W84" s="30" t="n">
        <f aca="false">IF(I84&gt;0,V84/I84,"")</f>
        <v>4.6892964686559</v>
      </c>
      <c r="X84" s="3" t="str">
        <f aca="false">IF(I84&lt;=0,"SIN FCST",IF(V84&lt;R84,"BAJO SS",IF(T84&lt;R84,"BAJO SS (XLIB CUBRE)",IF(V84&lt;S84,"BAJO P.REORDEN",IF(AND(ISNUMBER(Q84),V84&gt;Q84),"SOBRE MAX VENDIBLE","OK")))))</f>
        <v>OK</v>
      </c>
    </row>
    <row r="85" customFormat="false" ht="15" hidden="false" customHeight="false" outlineLevel="0" collapsed="false">
      <c r="A85" s="3" t="n">
        <v>30001924</v>
      </c>
      <c r="B85" s="3" t="s">
        <v>416</v>
      </c>
      <c r="C85" s="3" t="s">
        <v>126</v>
      </c>
      <c r="D85" s="3" t="s">
        <v>370</v>
      </c>
      <c r="E85" s="3" t="s">
        <v>363</v>
      </c>
      <c r="F85" s="3" t="str">
        <f aca="false">IFERROR(INDEX(ABC_XYZ!$L$5:$L$137,MATCH(A85,ABC_XYZ!$A$5:$A$137,0)),"SIN HIST")</f>
        <v>CY</v>
      </c>
      <c r="G85" s="24" t="n">
        <f aca="false">IF(LEFT(F85,1)="A",Parametros!$B$8,IF(LEFT(F85,1)="B",Parametros!$B$9,IF(LEFT(F85,1)="C",Parametros!$B$10,Parametros!$B$11)))</f>
        <v>0.9</v>
      </c>
      <c r="H85" s="27" t="n">
        <f aca="false">NORMSINV(G85)</f>
        <v>1.2815515655446</v>
      </c>
      <c r="I85" s="23" t="n">
        <v>2141.9</v>
      </c>
      <c r="J85" s="23" t="n">
        <f aca="false">IFERROR(INDEX(ABC_XYZ!$R$5:$R$137,MATCH(A85,ABC_XYZ!$A$5:$A$137,0)),I85*Parametros!$B$13)</f>
        <v>750.472050452099</v>
      </c>
      <c r="K85" s="27" t="n">
        <f aca="false">IFERROR(VLOOKUP(C85,Parametros!$A$36:$B$41,2,FALSE()),Parametros!$B$12)</f>
        <v>1</v>
      </c>
      <c r="L85" s="23" t="n">
        <f aca="false">H85*J85*SQRT(K85)</f>
        <v>961.768631154355</v>
      </c>
      <c r="M85" s="29" t="n">
        <v>184</v>
      </c>
      <c r="N85" s="24" t="n">
        <v>0.190217391304348</v>
      </c>
      <c r="O85" s="3" t="s">
        <v>364</v>
      </c>
      <c r="P85" s="30" t="n">
        <f aca="false">IF(AND(ISNUMBER(M85),ISNUMBER(N85)),M85*N85/7,"")</f>
        <v>5</v>
      </c>
      <c r="Q85" s="23" t="n">
        <f aca="false">IF(ISNUMBER(P85),I85*P85,"")</f>
        <v>10709.5</v>
      </c>
      <c r="R85" s="23" t="n">
        <f aca="false">IF(ISNUMBER(Q85),MAX(0,MIN(L85,Q85-I85*K85)),L85)</f>
        <v>961.768631154355</v>
      </c>
      <c r="S85" s="23" t="n">
        <f aca="false">R85+I85*K85</f>
        <v>3103.66863115435</v>
      </c>
      <c r="T85" s="23" t="n">
        <v>7836</v>
      </c>
      <c r="U85" s="23" t="n">
        <v>0</v>
      </c>
      <c r="V85" s="23" t="n">
        <f aca="false">T85+U85</f>
        <v>7836</v>
      </c>
      <c r="W85" s="30" t="n">
        <f aca="false">IF(I85&gt;0,V85/I85,"")</f>
        <v>3.65843410056492</v>
      </c>
      <c r="X85" s="3" t="str">
        <f aca="false">IF(I85&lt;=0,"SIN FCST",IF(V85&lt;R85,"BAJO SS",IF(T85&lt;R85,"BAJO SS (XLIB CUBRE)",IF(V85&lt;S85,"BAJO P.REORDEN",IF(AND(ISNUMBER(Q85),V85&gt;Q85),"SOBRE MAX VENDIBLE","OK")))))</f>
        <v>OK</v>
      </c>
    </row>
    <row r="86" customFormat="false" ht="15" hidden="false" customHeight="false" outlineLevel="0" collapsed="false">
      <c r="A86" s="3" t="n">
        <v>30002228</v>
      </c>
      <c r="B86" s="3" t="s">
        <v>255</v>
      </c>
      <c r="C86" s="3" t="s">
        <v>126</v>
      </c>
      <c r="D86" s="3" t="s">
        <v>370</v>
      </c>
      <c r="E86" s="3"/>
      <c r="F86" s="3" t="str">
        <f aca="false">IFERROR(INDEX(ABC_XYZ!$L$5:$L$137,MATCH(A86,ABC_XYZ!$A$5:$A$137,0)),"SIN HIST")</f>
        <v>CY</v>
      </c>
      <c r="G86" s="24" t="n">
        <f aca="false">IF(LEFT(F86,1)="A",Parametros!$B$8,IF(LEFT(F86,1)="B",Parametros!$B$9,IF(LEFT(F86,1)="C",Parametros!$B$10,Parametros!$B$11)))</f>
        <v>0.9</v>
      </c>
      <c r="H86" s="27" t="n">
        <f aca="false">NORMSINV(G86)</f>
        <v>1.2815515655446</v>
      </c>
      <c r="I86" s="23" t="n">
        <v>2126.4</v>
      </c>
      <c r="J86" s="23" t="n">
        <f aca="false">IFERROR(INDEX(ABC_XYZ!$R$5:$R$137,MATCH(A86,ABC_XYZ!$A$5:$A$137,0)),I86*Parametros!$B$13)</f>
        <v>2174.97394032138</v>
      </c>
      <c r="K86" s="27" t="n">
        <f aca="false">IFERROR(VLOOKUP(C86,Parametros!$A$36:$B$41,2,FALSE()),Parametros!$B$12)</f>
        <v>1</v>
      </c>
      <c r="L86" s="23" t="n">
        <f aca="false">H86*J86*SQRT(K86)</f>
        <v>2787.34125823757</v>
      </c>
      <c r="M86" s="29" t="n">
        <v>365</v>
      </c>
      <c r="N86" s="24" t="n">
        <v>0.273972602739726</v>
      </c>
      <c r="O86" s="3" t="s">
        <v>364</v>
      </c>
      <c r="P86" s="30" t="n">
        <f aca="false">IF(AND(ISNUMBER(M86),ISNUMBER(N86)),M86*N86/7,"")</f>
        <v>14.2857142857143</v>
      </c>
      <c r="Q86" s="23" t="n">
        <f aca="false">IF(ISNUMBER(P86),I86*P86,"")</f>
        <v>30377.1428571429</v>
      </c>
      <c r="R86" s="23" t="n">
        <f aca="false">IF(ISNUMBER(Q86),MAX(0,MIN(L86,Q86-I86*K86)),L86)</f>
        <v>2787.34125823757</v>
      </c>
      <c r="S86" s="23" t="n">
        <f aca="false">R86+I86*K86</f>
        <v>4913.74125823758</v>
      </c>
      <c r="T86" s="23" t="n">
        <v>172.5</v>
      </c>
      <c r="U86" s="23" t="n">
        <v>20884</v>
      </c>
      <c r="V86" s="23" t="n">
        <f aca="false">T86+U86</f>
        <v>21056.5</v>
      </c>
      <c r="W86" s="30" t="n">
        <f aca="false">IF(I86&gt;0,V86/I86,"")</f>
        <v>9.90241723100075</v>
      </c>
      <c r="X86" s="3" t="str">
        <f aca="false">IF(I86&lt;=0,"SIN FCST",IF(V86&lt;R86,"BAJO SS",IF(T86&lt;R86,"BAJO SS (XLIB CUBRE)",IF(V86&lt;S86,"BAJO P.REORDEN",IF(AND(ISNUMBER(Q86),V86&gt;Q86),"SOBRE MAX VENDIBLE","OK")))))</f>
        <v>BAJO SS (XLIB CUBRE)</v>
      </c>
    </row>
    <row r="87" customFormat="false" ht="15" hidden="false" customHeight="false" outlineLevel="0" collapsed="false">
      <c r="A87" s="3" t="n">
        <v>30000006</v>
      </c>
      <c r="B87" s="3" t="s">
        <v>417</v>
      </c>
      <c r="C87" s="3" t="s">
        <v>129</v>
      </c>
      <c r="D87" s="3" t="s">
        <v>370</v>
      </c>
      <c r="E87" s="3" t="s">
        <v>363</v>
      </c>
      <c r="F87" s="3" t="str">
        <f aca="false">IFERROR(INDEX(ABC_XYZ!$L$5:$L$137,MATCH(A87,ABC_XYZ!$A$5:$A$137,0)),"SIN HIST")</f>
        <v>BX</v>
      </c>
      <c r="G87" s="24" t="n">
        <f aca="false">IF(LEFT(F87,1)="A",Parametros!$B$8,IF(LEFT(F87,1)="B",Parametros!$B$9,IF(LEFT(F87,1)="C",Parametros!$B$10,Parametros!$B$11)))</f>
        <v>0.95</v>
      </c>
      <c r="H87" s="27" t="n">
        <f aca="false">NORMSINV(G87)</f>
        <v>1.64485362695147</v>
      </c>
      <c r="I87" s="23" t="n">
        <v>2049.9</v>
      </c>
      <c r="J87" s="23" t="n">
        <f aca="false">IFERROR(INDEX(ABC_XYZ!$R$5:$R$137,MATCH(A87,ABC_XYZ!$A$5:$A$137,0)),I87*Parametros!$B$13)</f>
        <v>1954.26402599431</v>
      </c>
      <c r="K87" s="27" t="n">
        <f aca="false">IFERROR(VLOOKUP(C87,Parametros!$A$36:$B$41,2,FALSE()),Parametros!$B$12)</f>
        <v>1</v>
      </c>
      <c r="L87" s="23" t="n">
        <f aca="false">H87*J87*SQRT(K87)</f>
        <v>3214.47827117753</v>
      </c>
      <c r="M87" s="29" t="n">
        <v>187</v>
      </c>
      <c r="N87" s="24" t="n">
        <v>0.240641711229947</v>
      </c>
      <c r="O87" s="3" t="s">
        <v>364</v>
      </c>
      <c r="P87" s="30" t="n">
        <f aca="false">IF(AND(ISNUMBER(M87),ISNUMBER(N87)),M87*N87/7,"")</f>
        <v>6.42857142857143</v>
      </c>
      <c r="Q87" s="23" t="n">
        <f aca="false">IF(ISNUMBER(P87),I87*P87,"")</f>
        <v>13177.9285714286</v>
      </c>
      <c r="R87" s="23" t="n">
        <f aca="false">IF(ISNUMBER(Q87),MAX(0,MIN(L87,Q87-I87*K87)),L87)</f>
        <v>3214.47827117753</v>
      </c>
      <c r="S87" s="23" t="n">
        <f aca="false">R87+I87*K87</f>
        <v>5264.37827117753</v>
      </c>
      <c r="T87" s="23" t="n">
        <v>27564</v>
      </c>
      <c r="U87" s="23" t="n">
        <v>0</v>
      </c>
      <c r="V87" s="23" t="n">
        <f aca="false">T87+U87</f>
        <v>27564</v>
      </c>
      <c r="W87" s="30" t="n">
        <f aca="false">IF(I87&gt;0,V87/I87,"")</f>
        <v>13.4465095858335</v>
      </c>
      <c r="X87" s="3" t="str">
        <f aca="false">IF(I87&lt;=0,"SIN FCST",IF(V87&lt;R87,"BAJO SS",IF(T87&lt;R87,"BAJO SS (XLIB CUBRE)",IF(V87&lt;S87,"BAJO P.REORDEN",IF(AND(ISNUMBER(Q87),V87&gt;Q87),"SOBRE MAX VENDIBLE","OK")))))</f>
        <v>SOBRE MAX VENDIBLE</v>
      </c>
    </row>
    <row r="88" customFormat="false" ht="15" hidden="false" customHeight="false" outlineLevel="0" collapsed="false">
      <c r="A88" s="3" t="n">
        <v>30002273</v>
      </c>
      <c r="B88" s="3" t="s">
        <v>273</v>
      </c>
      <c r="C88" s="3" t="s">
        <v>128</v>
      </c>
      <c r="D88" s="3" t="s">
        <v>362</v>
      </c>
      <c r="E88" s="3"/>
      <c r="F88" s="3" t="str">
        <f aca="false">IFERROR(INDEX(ABC_XYZ!$L$5:$L$137,MATCH(A88,ABC_XYZ!$A$5:$A$137,0)),"SIN HIST")</f>
        <v>CY</v>
      </c>
      <c r="G88" s="24" t="n">
        <f aca="false">IF(LEFT(F88,1)="A",Parametros!$B$8,IF(LEFT(F88,1)="B",Parametros!$B$9,IF(LEFT(F88,1)="C",Parametros!$B$10,Parametros!$B$11)))</f>
        <v>0.9</v>
      </c>
      <c r="H88" s="27" t="n">
        <f aca="false">NORMSINV(G88)</f>
        <v>1.2815515655446</v>
      </c>
      <c r="I88" s="23" t="n">
        <v>2011.6</v>
      </c>
      <c r="J88" s="23" t="n">
        <f aca="false">IFERROR(INDEX(ABC_XYZ!$R$5:$R$137,MATCH(A88,ABC_XYZ!$A$5:$A$137,0)),I88*Parametros!$B$13)</f>
        <v>1222.73963490256</v>
      </c>
      <c r="K88" s="27" t="n">
        <f aca="false">IFERROR(VLOOKUP(C88,Parametros!$A$36:$B$41,2,FALSE()),Parametros!$B$12)</f>
        <v>1</v>
      </c>
      <c r="L88" s="23" t="n">
        <f aca="false">H88*J88*SQRT(K88)</f>
        <v>1567.0038933628</v>
      </c>
      <c r="M88" s="29"/>
      <c r="N88" s="24"/>
      <c r="O88" s="3"/>
      <c r="P88" s="30" t="str">
        <f aca="false">IF(AND(ISNUMBER(M88),ISNUMBER(N88)),M88*N88/7,"")</f>
        <v/>
      </c>
      <c r="Q88" s="23" t="str">
        <f aca="false">IF(ISNUMBER(P88),I88*P88,"")</f>
        <v/>
      </c>
      <c r="R88" s="23" t="n">
        <f aca="false">IF(ISNUMBER(Q88),MAX(0,MIN(L88,Q88-I88*K88)),L88)</f>
        <v>1567.0038933628</v>
      </c>
      <c r="S88" s="23" t="n">
        <f aca="false">R88+I88*K88</f>
        <v>3578.6038933628</v>
      </c>
      <c r="T88" s="23" t="n">
        <v>8301.6</v>
      </c>
      <c r="U88" s="23" t="n">
        <v>0</v>
      </c>
      <c r="V88" s="23" t="n">
        <f aca="false">T88+U88</f>
        <v>8301.6</v>
      </c>
      <c r="W88" s="30" t="n">
        <f aca="false">IF(I88&gt;0,V88/I88,"")</f>
        <v>4.12686418771128</v>
      </c>
      <c r="X88" s="3" t="str">
        <f aca="false">IF(I88&lt;=0,"SIN FCST",IF(V88&lt;R88,"BAJO SS",IF(T88&lt;R88,"BAJO SS (XLIB CUBRE)",IF(V88&lt;S88,"BAJO P.REORDEN",IF(AND(ISNUMBER(Q88),V88&gt;Q88),"SOBRE MAX VENDIBLE","OK")))))</f>
        <v>OK</v>
      </c>
    </row>
    <row r="89" customFormat="false" ht="15" hidden="false" customHeight="false" outlineLevel="0" collapsed="false">
      <c r="A89" s="3" t="n">
        <v>30000383</v>
      </c>
      <c r="B89" s="3" t="s">
        <v>288</v>
      </c>
      <c r="C89" s="3" t="s">
        <v>124</v>
      </c>
      <c r="D89" s="3" t="s">
        <v>362</v>
      </c>
      <c r="E89" s="3" t="s">
        <v>363</v>
      </c>
      <c r="F89" s="3" t="str">
        <f aca="false">IFERROR(INDEX(ABC_XYZ!$L$5:$L$137,MATCH(A89,ABC_XYZ!$A$5:$A$137,0)),"SIN HIST")</f>
        <v>CX</v>
      </c>
      <c r="G89" s="24" t="n">
        <f aca="false">IF(LEFT(F89,1)="A",Parametros!$B$8,IF(LEFT(F89,1)="B",Parametros!$B$9,IF(LEFT(F89,1)="C",Parametros!$B$10,Parametros!$B$11)))</f>
        <v>0.9</v>
      </c>
      <c r="H89" s="27" t="n">
        <f aca="false">NORMSINV(G89)</f>
        <v>1.2815515655446</v>
      </c>
      <c r="I89" s="23" t="n">
        <v>1825.5</v>
      </c>
      <c r="J89" s="23" t="n">
        <f aca="false">IFERROR(INDEX(ABC_XYZ!$R$5:$R$137,MATCH(A89,ABC_XYZ!$A$5:$A$137,0)),I89*Parametros!$B$13)</f>
        <v>807.051791793196</v>
      </c>
      <c r="K89" s="27" t="n">
        <f aca="false">IFERROR(VLOOKUP(C89,Parametros!$A$36:$B$41,2,FALSE()),Parametros!$B$12)</f>
        <v>1</v>
      </c>
      <c r="L89" s="23" t="n">
        <f aca="false">H89*J89*SQRT(K89)</f>
        <v>1034.27848724815</v>
      </c>
      <c r="M89" s="29" t="n">
        <v>189</v>
      </c>
      <c r="N89" s="24" t="n">
        <v>0.259259259259259</v>
      </c>
      <c r="O89" s="3" t="s">
        <v>364</v>
      </c>
      <c r="P89" s="30" t="n">
        <f aca="false">IF(AND(ISNUMBER(M89),ISNUMBER(N89)),M89*N89/7,"")</f>
        <v>7</v>
      </c>
      <c r="Q89" s="23" t="n">
        <f aca="false">IF(ISNUMBER(P89),I89*P89,"")</f>
        <v>12778.5</v>
      </c>
      <c r="R89" s="23" t="n">
        <f aca="false">IF(ISNUMBER(Q89),MAX(0,MIN(L89,Q89-I89*K89)),L89)</f>
        <v>1034.27848724815</v>
      </c>
      <c r="S89" s="23" t="n">
        <f aca="false">R89+I89*K89</f>
        <v>2859.77848724815</v>
      </c>
      <c r="T89" s="23" t="n">
        <v>12516</v>
      </c>
      <c r="U89" s="23" t="n">
        <v>0</v>
      </c>
      <c r="V89" s="23" t="n">
        <f aca="false">T89+U89</f>
        <v>12516</v>
      </c>
      <c r="W89" s="30" t="n">
        <f aca="false">IF(I89&gt;0,V89/I89,"")</f>
        <v>6.85620377978636</v>
      </c>
      <c r="X89" s="3" t="str">
        <f aca="false">IF(I89&lt;=0,"SIN FCST",IF(V89&lt;R89,"BAJO SS",IF(T89&lt;R89,"BAJO SS (XLIB CUBRE)",IF(V89&lt;S89,"BAJO P.REORDEN",IF(AND(ISNUMBER(Q89),V89&gt;Q89),"SOBRE MAX VENDIBLE","OK")))))</f>
        <v>OK</v>
      </c>
    </row>
    <row r="90" customFormat="false" ht="15" hidden="false" customHeight="false" outlineLevel="0" collapsed="false">
      <c r="A90" s="3" t="n">
        <v>30002262</v>
      </c>
      <c r="B90" s="3" t="s">
        <v>418</v>
      </c>
      <c r="C90" s="3" t="s">
        <v>126</v>
      </c>
      <c r="D90" s="3" t="s">
        <v>370</v>
      </c>
      <c r="E90" s="3"/>
      <c r="F90" s="3" t="str">
        <f aca="false">IFERROR(INDEX(ABC_XYZ!$L$5:$L$137,MATCH(A90,ABC_XYZ!$A$5:$A$137,0)),"SIN HIST")</f>
        <v>CY</v>
      </c>
      <c r="G90" s="24" t="n">
        <f aca="false">IF(LEFT(F90,1)="A",Parametros!$B$8,IF(LEFT(F90,1)="B",Parametros!$B$9,IF(LEFT(F90,1)="C",Parametros!$B$10,Parametros!$B$11)))</f>
        <v>0.9</v>
      </c>
      <c r="H90" s="27" t="n">
        <f aca="false">NORMSINV(G90)</f>
        <v>1.2815515655446</v>
      </c>
      <c r="I90" s="23" t="n">
        <v>1781.8</v>
      </c>
      <c r="J90" s="23" t="n">
        <f aca="false">IFERROR(INDEX(ABC_XYZ!$R$5:$R$137,MATCH(A90,ABC_XYZ!$A$5:$A$137,0)),I90*Parametros!$B$13)</f>
        <v>2021.79395398608</v>
      </c>
      <c r="K90" s="27" t="n">
        <f aca="false">IFERROR(VLOOKUP(C90,Parametros!$A$36:$B$41,2,FALSE()),Parametros!$B$12)</f>
        <v>1</v>
      </c>
      <c r="L90" s="23" t="n">
        <f aca="false">H90*J90*SQRT(K90)</f>
        <v>2591.03320693947</v>
      </c>
      <c r="M90" s="29" t="n">
        <v>153</v>
      </c>
      <c r="N90" s="24" t="n">
        <v>0.196078431372549</v>
      </c>
      <c r="O90" s="3" t="s">
        <v>371</v>
      </c>
      <c r="P90" s="30" t="n">
        <f aca="false">IF(AND(ISNUMBER(M90),ISNUMBER(N90)),M90*N90/7,"")</f>
        <v>4.28571428571429</v>
      </c>
      <c r="Q90" s="23" t="n">
        <f aca="false">IF(ISNUMBER(P90),I90*P90,"")</f>
        <v>7636.28571428571</v>
      </c>
      <c r="R90" s="23" t="n">
        <f aca="false">IF(ISNUMBER(Q90),MAX(0,MIN(L90,Q90-I90*K90)),L90)</f>
        <v>2591.03320693947</v>
      </c>
      <c r="S90" s="23" t="n">
        <f aca="false">R90+I90*K90</f>
        <v>4372.83320693947</v>
      </c>
      <c r="T90" s="23" t="n">
        <v>6510.1</v>
      </c>
      <c r="U90" s="23" t="n">
        <v>0</v>
      </c>
      <c r="V90" s="23" t="n">
        <f aca="false">T90+U90</f>
        <v>6510.1</v>
      </c>
      <c r="W90" s="30" t="n">
        <f aca="false">IF(I90&gt;0,V90/I90,"")</f>
        <v>3.65366483331463</v>
      </c>
      <c r="X90" s="3" t="str">
        <f aca="false">IF(I90&lt;=0,"SIN FCST",IF(V90&lt;R90,"BAJO SS",IF(T90&lt;R90,"BAJO SS (XLIB CUBRE)",IF(V90&lt;S90,"BAJO P.REORDEN",IF(AND(ISNUMBER(Q90),V90&gt;Q90),"SOBRE MAX VENDIBLE","OK")))))</f>
        <v>OK</v>
      </c>
    </row>
    <row r="91" customFormat="false" ht="15" hidden="false" customHeight="false" outlineLevel="0" collapsed="false">
      <c r="A91" s="3" t="n">
        <v>30002276</v>
      </c>
      <c r="B91" s="3" t="s">
        <v>276</v>
      </c>
      <c r="C91" s="3" t="s">
        <v>128</v>
      </c>
      <c r="D91" s="3" t="s">
        <v>362</v>
      </c>
      <c r="E91" s="3"/>
      <c r="F91" s="3" t="str">
        <f aca="false">IFERROR(INDEX(ABC_XYZ!$L$5:$L$137,MATCH(A91,ABC_XYZ!$A$5:$A$137,0)),"SIN HIST")</f>
        <v>CY</v>
      </c>
      <c r="G91" s="24" t="n">
        <f aca="false">IF(LEFT(F91,1)="A",Parametros!$B$8,IF(LEFT(F91,1)="B",Parametros!$B$9,IF(LEFT(F91,1)="C",Parametros!$B$10,Parametros!$B$11)))</f>
        <v>0.9</v>
      </c>
      <c r="H91" s="27" t="n">
        <f aca="false">NORMSINV(G91)</f>
        <v>1.2815515655446</v>
      </c>
      <c r="I91" s="23" t="n">
        <v>1770.7</v>
      </c>
      <c r="J91" s="23" t="n">
        <f aca="false">IFERROR(INDEX(ABC_XYZ!$R$5:$R$137,MATCH(A91,ABC_XYZ!$A$5:$A$137,0)),I91*Parametros!$B$13)</f>
        <v>1293.29626623076</v>
      </c>
      <c r="K91" s="27" t="n">
        <f aca="false">IFERROR(VLOOKUP(C91,Parametros!$A$36:$B$41,2,FALSE()),Parametros!$B$12)</f>
        <v>1</v>
      </c>
      <c r="L91" s="23" t="n">
        <f aca="false">H91*J91*SQRT(K91)</f>
        <v>1657.42585470101</v>
      </c>
      <c r="M91" s="29"/>
      <c r="N91" s="24"/>
      <c r="O91" s="3"/>
      <c r="P91" s="30" t="str">
        <f aca="false">IF(AND(ISNUMBER(M91),ISNUMBER(N91)),M91*N91/7,"")</f>
        <v/>
      </c>
      <c r="Q91" s="23" t="str">
        <f aca="false">IF(ISNUMBER(P91),I91*P91,"")</f>
        <v/>
      </c>
      <c r="R91" s="23" t="n">
        <f aca="false">IF(ISNUMBER(Q91),MAX(0,MIN(L91,Q91-I91*K91)),L91)</f>
        <v>1657.42585470101</v>
      </c>
      <c r="S91" s="23" t="n">
        <f aca="false">R91+I91*K91</f>
        <v>3428.12585470101</v>
      </c>
      <c r="T91" s="23" t="n">
        <v>7416</v>
      </c>
      <c r="U91" s="23" t="n">
        <v>0</v>
      </c>
      <c r="V91" s="23" t="n">
        <f aca="false">T91+U91</f>
        <v>7416</v>
      </c>
      <c r="W91" s="30" t="n">
        <f aca="false">IF(I91&gt;0,V91/I91,"")</f>
        <v>4.18817416840797</v>
      </c>
      <c r="X91" s="3" t="str">
        <f aca="false">IF(I91&lt;=0,"SIN FCST",IF(V91&lt;R91,"BAJO SS",IF(T91&lt;R91,"BAJO SS (XLIB CUBRE)",IF(V91&lt;S91,"BAJO P.REORDEN",IF(AND(ISNUMBER(Q91),V91&gt;Q91),"SOBRE MAX VENDIBLE","OK")))))</f>
        <v>OK</v>
      </c>
    </row>
    <row r="92" customFormat="false" ht="15" hidden="false" customHeight="false" outlineLevel="0" collapsed="false">
      <c r="A92" s="3" t="n">
        <v>30002261</v>
      </c>
      <c r="B92" s="3" t="s">
        <v>419</v>
      </c>
      <c r="C92" s="3" t="s">
        <v>126</v>
      </c>
      <c r="D92" s="3" t="s">
        <v>370</v>
      </c>
      <c r="E92" s="3"/>
      <c r="F92" s="3" t="str">
        <f aca="false">IFERROR(INDEX(ABC_XYZ!$L$5:$L$137,MATCH(A92,ABC_XYZ!$A$5:$A$137,0)),"SIN HIST")</f>
        <v>CZ</v>
      </c>
      <c r="G92" s="24" t="n">
        <f aca="false">IF(LEFT(F92,1)="A",Parametros!$B$8,IF(LEFT(F92,1)="B",Parametros!$B$9,IF(LEFT(F92,1)="C",Parametros!$B$10,Parametros!$B$11)))</f>
        <v>0.9</v>
      </c>
      <c r="H92" s="27" t="n">
        <f aca="false">NORMSINV(G92)</f>
        <v>1.2815515655446</v>
      </c>
      <c r="I92" s="23" t="n">
        <v>1744.6</v>
      </c>
      <c r="J92" s="23" t="n">
        <f aca="false">IFERROR(INDEX(ABC_XYZ!$R$5:$R$137,MATCH(A92,ABC_XYZ!$A$5:$A$137,0)),I92*Parametros!$B$13)</f>
        <v>1926.2109675181</v>
      </c>
      <c r="K92" s="27" t="n">
        <f aca="false">IFERROR(VLOOKUP(C92,Parametros!$A$36:$B$41,2,FALSE()),Parametros!$B$12)</f>
        <v>1</v>
      </c>
      <c r="L92" s="23" t="n">
        <f aca="false">H92*J92*SQRT(K92)</f>
        <v>2468.538680992</v>
      </c>
      <c r="M92" s="29" t="n">
        <v>153</v>
      </c>
      <c r="N92" s="24" t="n">
        <v>0.196078431372549</v>
      </c>
      <c r="O92" s="3" t="s">
        <v>371</v>
      </c>
      <c r="P92" s="30" t="n">
        <f aca="false">IF(AND(ISNUMBER(M92),ISNUMBER(N92)),M92*N92/7,"")</f>
        <v>4.28571428571429</v>
      </c>
      <c r="Q92" s="23" t="n">
        <f aca="false">IF(ISNUMBER(P92),I92*P92,"")</f>
        <v>7476.85714285714</v>
      </c>
      <c r="R92" s="23" t="n">
        <f aca="false">IF(ISNUMBER(Q92),MAX(0,MIN(L92,Q92-I92*K92)),L92)</f>
        <v>2468.538680992</v>
      </c>
      <c r="S92" s="23" t="n">
        <f aca="false">R92+I92*K92</f>
        <v>4213.138680992</v>
      </c>
      <c r="T92" s="23" t="n">
        <v>3329.2</v>
      </c>
      <c r="U92" s="23" t="n">
        <v>0</v>
      </c>
      <c r="V92" s="23" t="n">
        <f aca="false">T92+U92</f>
        <v>3329.2</v>
      </c>
      <c r="W92" s="30" t="n">
        <f aca="false">IF(I92&gt;0,V92/I92,"")</f>
        <v>1.9082884328786</v>
      </c>
      <c r="X92" s="3" t="str">
        <f aca="false">IF(I92&lt;=0,"SIN FCST",IF(V92&lt;R92,"BAJO SS",IF(T92&lt;R92,"BAJO SS (XLIB CUBRE)",IF(V92&lt;S92,"BAJO P.REORDEN",IF(AND(ISNUMBER(Q92),V92&gt;Q92),"SOBRE MAX VENDIBLE","OK")))))</f>
        <v>BAJO P.REORDEN</v>
      </c>
    </row>
    <row r="93" customFormat="false" ht="15" hidden="false" customHeight="false" outlineLevel="0" collapsed="false">
      <c r="A93" s="3" t="n">
        <v>30002274</v>
      </c>
      <c r="B93" s="3" t="s">
        <v>287</v>
      </c>
      <c r="C93" s="3" t="s">
        <v>128</v>
      </c>
      <c r="D93" s="3" t="s">
        <v>362</v>
      </c>
      <c r="E93" s="3"/>
      <c r="F93" s="3" t="str">
        <f aca="false">IFERROR(INDEX(ABC_XYZ!$L$5:$L$137,MATCH(A93,ABC_XYZ!$A$5:$A$137,0)),"SIN HIST")</f>
        <v>CX</v>
      </c>
      <c r="G93" s="24" t="n">
        <f aca="false">IF(LEFT(F93,1)="A",Parametros!$B$8,IF(LEFT(F93,1)="B",Parametros!$B$9,IF(LEFT(F93,1)="C",Parametros!$B$10,Parametros!$B$11)))</f>
        <v>0.9</v>
      </c>
      <c r="H93" s="27" t="n">
        <f aca="false">NORMSINV(G93)</f>
        <v>1.2815515655446</v>
      </c>
      <c r="I93" s="23" t="n">
        <v>1721.9</v>
      </c>
      <c r="J93" s="23" t="n">
        <f aca="false">IFERROR(INDEX(ABC_XYZ!$R$5:$R$137,MATCH(A93,ABC_XYZ!$A$5:$A$137,0)),I93*Parametros!$B$13)</f>
        <v>575.764425591174</v>
      </c>
      <c r="K93" s="27" t="n">
        <f aca="false">IFERROR(VLOOKUP(C93,Parametros!$A$36:$B$41,2,FALSE()),Parametros!$B$12)</f>
        <v>1</v>
      </c>
      <c r="L93" s="23" t="n">
        <f aca="false">H93*J93*SQRT(K93)</f>
        <v>737.871801001257</v>
      </c>
      <c r="M93" s="29"/>
      <c r="N93" s="24"/>
      <c r="O93" s="3"/>
      <c r="P93" s="30" t="str">
        <f aca="false">IF(AND(ISNUMBER(M93),ISNUMBER(N93)),M93*N93/7,"")</f>
        <v/>
      </c>
      <c r="Q93" s="23" t="str">
        <f aca="false">IF(ISNUMBER(P93),I93*P93,"")</f>
        <v/>
      </c>
      <c r="R93" s="23" t="n">
        <f aca="false">IF(ISNUMBER(Q93),MAX(0,MIN(L93,Q93-I93*K93)),L93)</f>
        <v>737.871801001257</v>
      </c>
      <c r="S93" s="23" t="n">
        <f aca="false">R93+I93*K93</f>
        <v>2459.77180100126</v>
      </c>
      <c r="T93" s="23" t="n">
        <v>7670.7</v>
      </c>
      <c r="U93" s="23" t="n">
        <v>0</v>
      </c>
      <c r="V93" s="23" t="n">
        <f aca="false">T93+U93</f>
        <v>7670.7</v>
      </c>
      <c r="W93" s="30" t="n">
        <f aca="false">IF(I93&gt;0,V93/I93,"")</f>
        <v>4.45478831523317</v>
      </c>
      <c r="X93" s="3" t="str">
        <f aca="false">IF(I93&lt;=0,"SIN FCST",IF(V93&lt;R93,"BAJO SS",IF(T93&lt;R93,"BAJO SS (XLIB CUBRE)",IF(V93&lt;S93,"BAJO P.REORDEN",IF(AND(ISNUMBER(Q93),V93&gt;Q93),"SOBRE MAX VENDIBLE","OK")))))</f>
        <v>OK</v>
      </c>
    </row>
    <row r="94" customFormat="false" ht="15" hidden="false" customHeight="false" outlineLevel="0" collapsed="false">
      <c r="A94" s="3" t="n">
        <v>30001149</v>
      </c>
      <c r="B94" s="3" t="s">
        <v>279</v>
      </c>
      <c r="C94" s="3" t="s">
        <v>127</v>
      </c>
      <c r="D94" s="3" t="s">
        <v>370</v>
      </c>
      <c r="E94" s="3" t="s">
        <v>363</v>
      </c>
      <c r="F94" s="3" t="str">
        <f aca="false">IFERROR(INDEX(ABC_XYZ!$L$5:$L$137,MATCH(A94,ABC_XYZ!$A$5:$A$137,0)),"SIN HIST")</f>
        <v>CX</v>
      </c>
      <c r="G94" s="24" t="n">
        <f aca="false">IF(LEFT(F94,1)="A",Parametros!$B$8,IF(LEFT(F94,1)="B",Parametros!$B$9,IF(LEFT(F94,1)="C",Parametros!$B$10,Parametros!$B$11)))</f>
        <v>0.9</v>
      </c>
      <c r="H94" s="27" t="n">
        <f aca="false">NORMSINV(G94)</f>
        <v>1.2815515655446</v>
      </c>
      <c r="I94" s="23" t="n">
        <v>1549.5</v>
      </c>
      <c r="J94" s="23" t="n">
        <f aca="false">IFERROR(INDEX(ABC_XYZ!$R$5:$R$137,MATCH(A94,ABC_XYZ!$A$5:$A$137,0)),I94*Parametros!$B$13)</f>
        <v>535.577835708204</v>
      </c>
      <c r="K94" s="27" t="n">
        <f aca="false">IFERROR(VLOOKUP(C94,Parametros!$A$36:$B$41,2,FALSE()),Parametros!$B$12)</f>
        <v>1</v>
      </c>
      <c r="L94" s="23" t="n">
        <f aca="false">H94*J94*SQRT(K94)</f>
        <v>686.370613822838</v>
      </c>
      <c r="M94" s="29" t="n">
        <v>189</v>
      </c>
      <c r="N94" s="24" t="n">
        <v>0.211640211640212</v>
      </c>
      <c r="O94" s="3" t="s">
        <v>364</v>
      </c>
      <c r="P94" s="30" t="n">
        <f aca="false">IF(AND(ISNUMBER(M94),ISNUMBER(N94)),M94*N94/7,"")</f>
        <v>5.71428571428571</v>
      </c>
      <c r="Q94" s="23" t="n">
        <f aca="false">IF(ISNUMBER(P94),I94*P94,"")</f>
        <v>8854.28571428571</v>
      </c>
      <c r="R94" s="23" t="n">
        <f aca="false">IF(ISNUMBER(Q94),MAX(0,MIN(L94,Q94-I94*K94)),L94)</f>
        <v>686.370613822838</v>
      </c>
      <c r="S94" s="23" t="n">
        <f aca="false">R94+I94*K94</f>
        <v>2235.87061382284</v>
      </c>
      <c r="T94" s="23" t="n">
        <v>2370</v>
      </c>
      <c r="U94" s="23" t="n">
        <v>0</v>
      </c>
      <c r="V94" s="23" t="n">
        <f aca="false">T94+U94</f>
        <v>2370</v>
      </c>
      <c r="W94" s="30" t="n">
        <f aca="false">IF(I94&gt;0,V94/I94,"")</f>
        <v>1.52952565343659</v>
      </c>
      <c r="X94" s="3" t="str">
        <f aca="false">IF(I94&lt;=0,"SIN FCST",IF(V94&lt;R94,"BAJO SS",IF(T94&lt;R94,"BAJO SS (XLIB CUBRE)",IF(V94&lt;S94,"BAJO P.REORDEN",IF(AND(ISNUMBER(Q94),V94&gt;Q94),"SOBRE MAX VENDIBLE","OK")))))</f>
        <v>OK</v>
      </c>
    </row>
    <row r="95" customFormat="false" ht="15" hidden="false" customHeight="false" outlineLevel="0" collapsed="false">
      <c r="A95" s="3" t="n">
        <v>30002076</v>
      </c>
      <c r="B95" s="3" t="s">
        <v>420</v>
      </c>
      <c r="C95" s="3" t="s">
        <v>129</v>
      </c>
      <c r="D95" s="3" t="s">
        <v>370</v>
      </c>
      <c r="E95" s="3" t="s">
        <v>363</v>
      </c>
      <c r="F95" s="3" t="str">
        <f aca="false">IFERROR(INDEX(ABC_XYZ!$L$5:$L$137,MATCH(A95,ABC_XYZ!$A$5:$A$137,0)),"SIN HIST")</f>
        <v>CZ</v>
      </c>
      <c r="G95" s="24" t="n">
        <f aca="false">IF(LEFT(F95,1)="A",Parametros!$B$8,IF(LEFT(F95,1)="B",Parametros!$B$9,IF(LEFT(F95,1)="C",Parametros!$B$10,Parametros!$B$11)))</f>
        <v>0.9</v>
      </c>
      <c r="H95" s="27" t="n">
        <f aca="false">NORMSINV(G95)</f>
        <v>1.2815515655446</v>
      </c>
      <c r="I95" s="23" t="n">
        <v>1531.9</v>
      </c>
      <c r="J95" s="23" t="n">
        <f aca="false">IFERROR(INDEX(ABC_XYZ!$R$5:$R$137,MATCH(A95,ABC_XYZ!$A$5:$A$137,0)),I95*Parametros!$B$13)</f>
        <v>2401.56468956077</v>
      </c>
      <c r="K95" s="27" t="n">
        <f aca="false">IFERROR(VLOOKUP(C95,Parametros!$A$36:$B$41,2,FALSE()),Parametros!$B$12)</f>
        <v>1</v>
      </c>
      <c r="L95" s="23" t="n">
        <f aca="false">H95*J95*SQRT(K95)</f>
        <v>3077.72898766324</v>
      </c>
      <c r="M95" s="29" t="n">
        <v>184</v>
      </c>
      <c r="N95" s="24" t="n">
        <v>0.239130434782609</v>
      </c>
      <c r="O95" s="3" t="s">
        <v>364</v>
      </c>
      <c r="P95" s="30" t="n">
        <f aca="false">IF(AND(ISNUMBER(M95),ISNUMBER(N95)),M95*N95/7,"")</f>
        <v>6.28571428571428</v>
      </c>
      <c r="Q95" s="23" t="n">
        <f aca="false">IF(ISNUMBER(P95),I95*P95,"")</f>
        <v>9629.08571428571</v>
      </c>
      <c r="R95" s="23" t="n">
        <f aca="false">IF(ISNUMBER(Q95),MAX(0,MIN(L95,Q95-I95*K95)),L95)</f>
        <v>3077.72898766324</v>
      </c>
      <c r="S95" s="23" t="n">
        <f aca="false">R95+I95*K95</f>
        <v>4609.62898766324</v>
      </c>
      <c r="T95" s="23" t="n">
        <v>7776</v>
      </c>
      <c r="U95" s="23" t="n">
        <v>0</v>
      </c>
      <c r="V95" s="23" t="n">
        <f aca="false">T95+U95</f>
        <v>7776</v>
      </c>
      <c r="W95" s="30" t="n">
        <f aca="false">IF(I95&gt;0,V95/I95,"")</f>
        <v>5.0760493504798</v>
      </c>
      <c r="X95" s="3" t="str">
        <f aca="false">IF(I95&lt;=0,"SIN FCST",IF(V95&lt;R95,"BAJO SS",IF(T95&lt;R95,"BAJO SS (XLIB CUBRE)",IF(V95&lt;S95,"BAJO P.REORDEN",IF(AND(ISNUMBER(Q95),V95&gt;Q95),"SOBRE MAX VENDIBLE","OK")))))</f>
        <v>OK</v>
      </c>
    </row>
    <row r="96" customFormat="false" ht="15" hidden="false" customHeight="false" outlineLevel="0" collapsed="false">
      <c r="A96" s="3" t="n">
        <v>30000308</v>
      </c>
      <c r="B96" s="3" t="s">
        <v>274</v>
      </c>
      <c r="C96" s="3" t="s">
        <v>129</v>
      </c>
      <c r="D96" s="3" t="s">
        <v>370</v>
      </c>
      <c r="E96" s="3" t="s">
        <v>363</v>
      </c>
      <c r="F96" s="3" t="str">
        <f aca="false">IFERROR(INDEX(ABC_XYZ!$L$5:$L$137,MATCH(A96,ABC_XYZ!$A$5:$A$137,0)),"SIN HIST")</f>
        <v>CX</v>
      </c>
      <c r="G96" s="24" t="n">
        <f aca="false">IF(LEFT(F96,1)="A",Parametros!$B$8,IF(LEFT(F96,1)="B",Parametros!$B$9,IF(LEFT(F96,1)="C",Parametros!$B$10,Parametros!$B$11)))</f>
        <v>0.9</v>
      </c>
      <c r="H96" s="27" t="n">
        <f aca="false">NORMSINV(G96)</f>
        <v>1.2815515655446</v>
      </c>
      <c r="I96" s="23" t="n">
        <v>1419.1</v>
      </c>
      <c r="J96" s="23" t="n">
        <f aca="false">IFERROR(INDEX(ABC_XYZ!$R$5:$R$137,MATCH(A96,ABC_XYZ!$A$5:$A$137,0)),I96*Parametros!$B$13)</f>
        <v>806.247333674135</v>
      </c>
      <c r="K96" s="27" t="n">
        <f aca="false">IFERROR(VLOOKUP(C96,Parametros!$A$36:$B$41,2,FALSE()),Parametros!$B$12)</f>
        <v>1</v>
      </c>
      <c r="L96" s="23" t="n">
        <f aca="false">H96*J96*SQRT(K96)</f>
        <v>1033.24753268625</v>
      </c>
      <c r="M96" s="29" t="n">
        <v>245</v>
      </c>
      <c r="N96" s="24" t="n">
        <v>0.240816326530612</v>
      </c>
      <c r="O96" s="3" t="s">
        <v>364</v>
      </c>
      <c r="P96" s="30" t="n">
        <f aca="false">IF(AND(ISNUMBER(M96),ISNUMBER(N96)),M96*N96/7,"")</f>
        <v>8.42857142857143</v>
      </c>
      <c r="Q96" s="23" t="n">
        <f aca="false">IF(ISNUMBER(P96),I96*P96,"")</f>
        <v>11960.9857142857</v>
      </c>
      <c r="R96" s="23" t="n">
        <f aca="false">IF(ISNUMBER(Q96),MAX(0,MIN(L96,Q96-I96*K96)),L96)</f>
        <v>1033.24753268625</v>
      </c>
      <c r="S96" s="23" t="n">
        <f aca="false">R96+I96*K96</f>
        <v>2452.34753268625</v>
      </c>
      <c r="T96" s="23" t="n">
        <v>6180</v>
      </c>
      <c r="U96" s="23" t="n">
        <v>0</v>
      </c>
      <c r="V96" s="23" t="n">
        <f aca="false">T96+U96</f>
        <v>6180</v>
      </c>
      <c r="W96" s="30" t="n">
        <f aca="false">IF(I96&gt;0,V96/I96,"")</f>
        <v>4.35487280670848</v>
      </c>
      <c r="X96" s="3" t="str">
        <f aca="false">IF(I96&lt;=0,"SIN FCST",IF(V96&lt;R96,"BAJO SS",IF(T96&lt;R96,"BAJO SS (XLIB CUBRE)",IF(V96&lt;S96,"BAJO P.REORDEN",IF(AND(ISNUMBER(Q96),V96&gt;Q96),"SOBRE MAX VENDIBLE","OK")))))</f>
        <v>OK</v>
      </c>
    </row>
    <row r="97" customFormat="false" ht="15" hidden="false" customHeight="false" outlineLevel="0" collapsed="false">
      <c r="A97" s="3" t="n">
        <v>30001716</v>
      </c>
      <c r="B97" s="3" t="s">
        <v>295</v>
      </c>
      <c r="C97" s="3" t="s">
        <v>124</v>
      </c>
      <c r="D97" s="3" t="s">
        <v>370</v>
      </c>
      <c r="E97" s="3" t="s">
        <v>363</v>
      </c>
      <c r="F97" s="3" t="str">
        <f aca="false">IFERROR(INDEX(ABC_XYZ!$L$5:$L$137,MATCH(A97,ABC_XYZ!$A$5:$A$137,0)),"SIN HIST")</f>
        <v>CY</v>
      </c>
      <c r="G97" s="24" t="n">
        <f aca="false">IF(LEFT(F97,1)="A",Parametros!$B$8,IF(LEFT(F97,1)="B",Parametros!$B$9,IF(LEFT(F97,1)="C",Parametros!$B$10,Parametros!$B$11)))</f>
        <v>0.9</v>
      </c>
      <c r="H97" s="27" t="n">
        <f aca="false">NORMSINV(G97)</f>
        <v>1.2815515655446</v>
      </c>
      <c r="I97" s="23" t="n">
        <v>1374.2</v>
      </c>
      <c r="J97" s="23" t="n">
        <f aca="false">IFERROR(INDEX(ABC_XYZ!$R$5:$R$137,MATCH(A97,ABC_XYZ!$A$5:$A$137,0)),I97*Parametros!$B$13)</f>
        <v>751.634315130223</v>
      </c>
      <c r="K97" s="27" t="n">
        <f aca="false">IFERROR(VLOOKUP(C97,Parametros!$A$36:$B$41,2,FALSE()),Parametros!$B$12)</f>
        <v>1</v>
      </c>
      <c r="L97" s="23" t="n">
        <f aca="false">H97*J97*SQRT(K97)</f>
        <v>963.258133272181</v>
      </c>
      <c r="M97" s="29" t="n">
        <v>184</v>
      </c>
      <c r="N97" s="24" t="n">
        <v>0.239130434782609</v>
      </c>
      <c r="O97" s="3" t="s">
        <v>364</v>
      </c>
      <c r="P97" s="30" t="n">
        <f aca="false">IF(AND(ISNUMBER(M97),ISNUMBER(N97)),M97*N97/7,"")</f>
        <v>6.28571428571428</v>
      </c>
      <c r="Q97" s="23" t="n">
        <f aca="false">IF(ISNUMBER(P97),I97*P97,"")</f>
        <v>8637.82857142857</v>
      </c>
      <c r="R97" s="23" t="n">
        <f aca="false">IF(ISNUMBER(Q97),MAX(0,MIN(L97,Q97-I97*K97)),L97)</f>
        <v>963.258133272181</v>
      </c>
      <c r="S97" s="23" t="n">
        <f aca="false">R97+I97*K97</f>
        <v>2337.45813327218</v>
      </c>
      <c r="T97" s="23" t="n">
        <v>7078.5</v>
      </c>
      <c r="U97" s="23" t="n">
        <v>10219.5</v>
      </c>
      <c r="V97" s="23" t="n">
        <f aca="false">T97+U97</f>
        <v>17298</v>
      </c>
      <c r="W97" s="30" t="n">
        <f aca="false">IF(I97&gt;0,V97/I97,"")</f>
        <v>12.5876873817494</v>
      </c>
      <c r="X97" s="3" t="str">
        <f aca="false">IF(I97&lt;=0,"SIN FCST",IF(V97&lt;R97,"BAJO SS",IF(T97&lt;R97,"BAJO SS (XLIB CUBRE)",IF(V97&lt;S97,"BAJO P.REORDEN",IF(AND(ISNUMBER(Q97),V97&gt;Q97),"SOBRE MAX VENDIBLE","OK")))))</f>
        <v>SOBRE MAX VENDIBLE</v>
      </c>
    </row>
    <row r="98" customFormat="false" ht="15" hidden="false" customHeight="false" outlineLevel="0" collapsed="false">
      <c r="A98" s="3" t="n">
        <v>30000355</v>
      </c>
      <c r="B98" s="3" t="s">
        <v>290</v>
      </c>
      <c r="C98" s="3" t="s">
        <v>129</v>
      </c>
      <c r="D98" s="3" t="s">
        <v>370</v>
      </c>
      <c r="E98" s="3" t="s">
        <v>363</v>
      </c>
      <c r="F98" s="3" t="str">
        <f aca="false">IFERROR(INDEX(ABC_XYZ!$L$5:$L$137,MATCH(A98,ABC_XYZ!$A$5:$A$137,0)),"SIN HIST")</f>
        <v>CX</v>
      </c>
      <c r="G98" s="24" t="n">
        <f aca="false">IF(LEFT(F98,1)="A",Parametros!$B$8,IF(LEFT(F98,1)="B",Parametros!$B$9,IF(LEFT(F98,1)="C",Parametros!$B$10,Parametros!$B$11)))</f>
        <v>0.9</v>
      </c>
      <c r="H98" s="27" t="n">
        <f aca="false">NORMSINV(G98)</f>
        <v>1.2815515655446</v>
      </c>
      <c r="I98" s="23" t="n">
        <v>1330</v>
      </c>
      <c r="J98" s="23" t="n">
        <f aca="false">IFERROR(INDEX(ABC_XYZ!$R$5:$R$137,MATCH(A98,ABC_XYZ!$A$5:$A$137,0)),I98*Parametros!$B$13)</f>
        <v>960.429436299569</v>
      </c>
      <c r="K98" s="27" t="n">
        <f aca="false">IFERROR(VLOOKUP(C98,Parametros!$A$36:$B$41,2,FALSE()),Parametros!$B$12)</f>
        <v>1</v>
      </c>
      <c r="L98" s="23" t="n">
        <f aca="false">H98*J98*SQRT(K98)</f>
        <v>1230.83984768483</v>
      </c>
      <c r="M98" s="29" t="n">
        <v>184</v>
      </c>
      <c r="N98" s="24" t="n">
        <v>0.239130434782609</v>
      </c>
      <c r="O98" s="3" t="s">
        <v>364</v>
      </c>
      <c r="P98" s="30" t="n">
        <f aca="false">IF(AND(ISNUMBER(M98),ISNUMBER(N98)),M98*N98/7,"")</f>
        <v>6.28571428571428</v>
      </c>
      <c r="Q98" s="23" t="n">
        <f aca="false">IF(ISNUMBER(P98),I98*P98,"")</f>
        <v>8360</v>
      </c>
      <c r="R98" s="23" t="n">
        <f aca="false">IF(ISNUMBER(Q98),MAX(0,MIN(L98,Q98-I98*K98)),L98)</f>
        <v>1230.83984768483</v>
      </c>
      <c r="S98" s="23" t="n">
        <f aca="false">R98+I98*K98</f>
        <v>2560.83984768483</v>
      </c>
      <c r="T98" s="23" t="n">
        <v>6648</v>
      </c>
      <c r="U98" s="23" t="n">
        <v>0</v>
      </c>
      <c r="V98" s="23" t="n">
        <f aca="false">T98+U98</f>
        <v>6648</v>
      </c>
      <c r="W98" s="30" t="n">
        <f aca="false">IF(I98&gt;0,V98/I98,"")</f>
        <v>4.9984962406015</v>
      </c>
      <c r="X98" s="3" t="str">
        <f aca="false">IF(I98&lt;=0,"SIN FCST",IF(V98&lt;R98,"BAJO SS",IF(T98&lt;R98,"BAJO SS (XLIB CUBRE)",IF(V98&lt;S98,"BAJO P.REORDEN",IF(AND(ISNUMBER(Q98),V98&gt;Q98),"SOBRE MAX VENDIBLE","OK")))))</f>
        <v>OK</v>
      </c>
    </row>
    <row r="99" customFormat="false" ht="15" hidden="false" customHeight="false" outlineLevel="0" collapsed="false">
      <c r="A99" s="3" t="n">
        <v>30002291</v>
      </c>
      <c r="B99" s="3" t="s">
        <v>421</v>
      </c>
      <c r="C99" s="3" t="s">
        <v>126</v>
      </c>
      <c r="D99" s="3" t="s">
        <v>370</v>
      </c>
      <c r="E99" s="3"/>
      <c r="F99" s="3" t="str">
        <f aca="false">IFERROR(INDEX(ABC_XYZ!$L$5:$L$137,MATCH(A99,ABC_XYZ!$A$5:$A$137,0)),"SIN HIST")</f>
        <v>CX</v>
      </c>
      <c r="G99" s="24" t="n">
        <f aca="false">IF(LEFT(F99,1)="A",Parametros!$B$8,IF(LEFT(F99,1)="B",Parametros!$B$9,IF(LEFT(F99,1)="C",Parametros!$B$10,Parametros!$B$11)))</f>
        <v>0.9</v>
      </c>
      <c r="H99" s="27" t="n">
        <f aca="false">NORMSINV(G99)</f>
        <v>1.2815515655446</v>
      </c>
      <c r="I99" s="23" t="n">
        <v>1296.4</v>
      </c>
      <c r="J99" s="23" t="n">
        <f aca="false">IFERROR(INDEX(ABC_XYZ!$R$5:$R$137,MATCH(A99,ABC_XYZ!$A$5:$A$137,0)),I99*Parametros!$B$13)</f>
        <v>1606.13798703738</v>
      </c>
      <c r="K99" s="27" t="n">
        <f aca="false">IFERROR(VLOOKUP(C99,Parametros!$A$36:$B$41,2,FALSE()),Parametros!$B$12)</f>
        <v>1</v>
      </c>
      <c r="L99" s="23" t="n">
        <f aca="false">H99*J99*SQRT(K99)</f>
        <v>2058.3486517684</v>
      </c>
      <c r="M99" s="29"/>
      <c r="N99" s="24"/>
      <c r="O99" s="3"/>
      <c r="P99" s="30" t="str">
        <f aca="false">IF(AND(ISNUMBER(M99),ISNUMBER(N99)),M99*N99/7,"")</f>
        <v/>
      </c>
      <c r="Q99" s="23" t="str">
        <f aca="false">IF(ISNUMBER(P99),I99*P99,"")</f>
        <v/>
      </c>
      <c r="R99" s="23" t="n">
        <f aca="false">IF(ISNUMBER(Q99),MAX(0,MIN(L99,Q99-I99*K99)),L99)</f>
        <v>2058.3486517684</v>
      </c>
      <c r="S99" s="23" t="n">
        <f aca="false">R99+I99*K99</f>
        <v>3354.7486517684</v>
      </c>
      <c r="T99" s="23" t="n">
        <v>6637.5</v>
      </c>
      <c r="U99" s="23" t="n">
        <v>0</v>
      </c>
      <c r="V99" s="23" t="n">
        <f aca="false">T99+U99</f>
        <v>6637.5</v>
      </c>
      <c r="W99" s="30" t="n">
        <f aca="false">IF(I99&gt;0,V99/I99,"")</f>
        <v>5.11994754705338</v>
      </c>
      <c r="X99" s="3" t="str">
        <f aca="false">IF(I99&lt;=0,"SIN FCST",IF(V99&lt;R99,"BAJO SS",IF(T99&lt;R99,"BAJO SS (XLIB CUBRE)",IF(V99&lt;S99,"BAJO P.REORDEN",IF(AND(ISNUMBER(Q99),V99&gt;Q99),"SOBRE MAX VENDIBLE","OK")))))</f>
        <v>OK</v>
      </c>
    </row>
    <row r="100" customFormat="false" ht="15" hidden="false" customHeight="false" outlineLevel="0" collapsed="false">
      <c r="A100" s="3" t="n">
        <v>30001407</v>
      </c>
      <c r="B100" s="3" t="s">
        <v>422</v>
      </c>
      <c r="C100" s="3" t="s">
        <v>129</v>
      </c>
      <c r="D100" s="3" t="s">
        <v>370</v>
      </c>
      <c r="E100" s="3" t="s">
        <v>363</v>
      </c>
      <c r="F100" s="3" t="str">
        <f aca="false">IFERROR(INDEX(ABC_XYZ!$L$5:$L$137,MATCH(A100,ABC_XYZ!$A$5:$A$137,0)),"SIN HIST")</f>
        <v>CX</v>
      </c>
      <c r="G100" s="24" t="n">
        <f aca="false">IF(LEFT(F100,1)="A",Parametros!$B$8,IF(LEFT(F100,1)="B",Parametros!$B$9,IF(LEFT(F100,1)="C",Parametros!$B$10,Parametros!$B$11)))</f>
        <v>0.9</v>
      </c>
      <c r="H100" s="27" t="n">
        <f aca="false">NORMSINV(G100)</f>
        <v>1.2815515655446</v>
      </c>
      <c r="I100" s="23" t="n">
        <v>1247.2</v>
      </c>
      <c r="J100" s="23" t="n">
        <f aca="false">IFERROR(INDEX(ABC_XYZ!$R$5:$R$137,MATCH(A100,ABC_XYZ!$A$5:$A$137,0)),I100*Parametros!$B$13)</f>
        <v>357.444070167049</v>
      </c>
      <c r="K100" s="27" t="n">
        <f aca="false">IFERROR(VLOOKUP(C100,Parametros!$A$36:$B$41,2,FALSE()),Parametros!$B$12)</f>
        <v>1</v>
      </c>
      <c r="L100" s="23" t="n">
        <f aca="false">H100*J100*SQRT(K100)</f>
        <v>458.083007717216</v>
      </c>
      <c r="M100" s="29" t="n">
        <v>250</v>
      </c>
      <c r="N100" s="24" t="n">
        <v>0.332</v>
      </c>
      <c r="O100" s="3" t="s">
        <v>384</v>
      </c>
      <c r="P100" s="30" t="n">
        <f aca="false">IF(AND(ISNUMBER(M100),ISNUMBER(N100)),M100*N100/7,"")</f>
        <v>11.8571428571429</v>
      </c>
      <c r="Q100" s="23" t="n">
        <f aca="false">IF(ISNUMBER(P100),I100*P100,"")</f>
        <v>14788.2285714286</v>
      </c>
      <c r="R100" s="23" t="n">
        <f aca="false">IF(ISNUMBER(Q100),MAX(0,MIN(L100,Q100-I100*K100)),L100)</f>
        <v>458.083007717216</v>
      </c>
      <c r="S100" s="23" t="n">
        <f aca="false">R100+I100*K100</f>
        <v>1705.28300771722</v>
      </c>
      <c r="T100" s="23" t="n">
        <v>9868.5</v>
      </c>
      <c r="U100" s="23" t="n">
        <v>0</v>
      </c>
      <c r="V100" s="23" t="n">
        <f aca="false">T100+U100</f>
        <v>9868.5</v>
      </c>
      <c r="W100" s="30" t="n">
        <f aca="false">IF(I100&gt;0,V100/I100,"")</f>
        <v>7.91252405388069</v>
      </c>
      <c r="X100" s="3" t="str">
        <f aca="false">IF(I100&lt;=0,"SIN FCST",IF(V100&lt;R100,"BAJO SS",IF(T100&lt;R100,"BAJO SS (XLIB CUBRE)",IF(V100&lt;S100,"BAJO P.REORDEN",IF(AND(ISNUMBER(Q100),V100&gt;Q100),"SOBRE MAX VENDIBLE","OK")))))</f>
        <v>OK</v>
      </c>
    </row>
    <row r="101" customFormat="false" ht="15" hidden="false" customHeight="false" outlineLevel="0" collapsed="false">
      <c r="A101" s="3" t="n">
        <v>30002217</v>
      </c>
      <c r="B101" s="3" t="s">
        <v>291</v>
      </c>
      <c r="C101" s="3" t="s">
        <v>129</v>
      </c>
      <c r="D101" s="3" t="s">
        <v>370</v>
      </c>
      <c r="E101" s="3"/>
      <c r="F101" s="3" t="str">
        <f aca="false">IFERROR(INDEX(ABC_XYZ!$L$5:$L$137,MATCH(A101,ABC_XYZ!$A$5:$A$137,0)),"SIN HIST")</f>
        <v>CZ</v>
      </c>
      <c r="G101" s="24" t="n">
        <f aca="false">IF(LEFT(F101,1)="A",Parametros!$B$8,IF(LEFT(F101,1)="B",Parametros!$B$9,IF(LEFT(F101,1)="C",Parametros!$B$10,Parametros!$B$11)))</f>
        <v>0.9</v>
      </c>
      <c r="H101" s="27" t="n">
        <f aca="false">NORMSINV(G101)</f>
        <v>1.2815515655446</v>
      </c>
      <c r="I101" s="23" t="n">
        <v>1176.8</v>
      </c>
      <c r="J101" s="23" t="n">
        <f aca="false">IFERROR(INDEX(ABC_XYZ!$R$5:$R$137,MATCH(A101,ABC_XYZ!$A$5:$A$137,0)),I101*Parametros!$B$13)</f>
        <v>1768.58643168209</v>
      </c>
      <c r="K101" s="27" t="n">
        <f aca="false">IFERROR(VLOOKUP(C101,Parametros!$A$36:$B$41,2,FALSE()),Parametros!$B$12)</f>
        <v>1</v>
      </c>
      <c r="L101" s="23" t="n">
        <f aca="false">H101*J101*SQRT(K101)</f>
        <v>2266.53471032312</v>
      </c>
      <c r="M101" s="29" t="n">
        <v>214</v>
      </c>
      <c r="N101" s="24" t="n">
        <v>0.266355140186916</v>
      </c>
      <c r="O101" s="3" t="s">
        <v>371</v>
      </c>
      <c r="P101" s="30" t="n">
        <f aca="false">IF(AND(ISNUMBER(M101),ISNUMBER(N101)),M101*N101/7,"")</f>
        <v>8.14285714285714</v>
      </c>
      <c r="Q101" s="23" t="n">
        <f aca="false">IF(ISNUMBER(P101),I101*P101,"")</f>
        <v>9582.51428571429</v>
      </c>
      <c r="R101" s="23" t="n">
        <f aca="false">IF(ISNUMBER(Q101),MAX(0,MIN(L101,Q101-I101*K101)),L101)</f>
        <v>2266.53471032312</v>
      </c>
      <c r="S101" s="23" t="n">
        <f aca="false">R101+I101*K101</f>
        <v>3443.33471032312</v>
      </c>
      <c r="T101" s="23" t="n">
        <v>14928.2</v>
      </c>
      <c r="U101" s="23" t="n">
        <v>0</v>
      </c>
      <c r="V101" s="23" t="n">
        <f aca="false">T101+U101</f>
        <v>14928.2</v>
      </c>
      <c r="W101" s="30" t="n">
        <f aca="false">IF(I101&gt;0,V101/I101,"")</f>
        <v>12.6854180829368</v>
      </c>
      <c r="X101" s="3" t="str">
        <f aca="false">IF(I101&lt;=0,"SIN FCST",IF(V101&lt;R101,"BAJO SS",IF(T101&lt;R101,"BAJO SS (XLIB CUBRE)",IF(V101&lt;S101,"BAJO P.REORDEN",IF(AND(ISNUMBER(Q101),V101&gt;Q101),"SOBRE MAX VENDIBLE","OK")))))</f>
        <v>SOBRE MAX VENDIBLE</v>
      </c>
    </row>
    <row r="102" customFormat="false" ht="15" hidden="false" customHeight="false" outlineLevel="0" collapsed="false">
      <c r="A102" s="3" t="n">
        <v>30001665</v>
      </c>
      <c r="B102" s="3" t="s">
        <v>423</v>
      </c>
      <c r="C102" s="3" t="s">
        <v>128</v>
      </c>
      <c r="D102" s="3" t="s">
        <v>362</v>
      </c>
      <c r="E102" s="3" t="s">
        <v>363</v>
      </c>
      <c r="F102" s="3" t="str">
        <f aca="false">IFERROR(INDEX(ABC_XYZ!$L$5:$L$137,MATCH(A102,ABC_XYZ!$A$5:$A$137,0)),"SIN HIST")</f>
        <v>CX</v>
      </c>
      <c r="G102" s="24" t="n">
        <f aca="false">IF(LEFT(F102,1)="A",Parametros!$B$8,IF(LEFT(F102,1)="B",Parametros!$B$9,IF(LEFT(F102,1)="C",Parametros!$B$10,Parametros!$B$11)))</f>
        <v>0.9</v>
      </c>
      <c r="H102" s="27" t="n">
        <f aca="false">NORMSINV(G102)</f>
        <v>1.2815515655446</v>
      </c>
      <c r="I102" s="23" t="n">
        <v>1166.2</v>
      </c>
      <c r="J102" s="23" t="n">
        <f aca="false">IFERROR(INDEX(ABC_XYZ!$R$5:$R$137,MATCH(A102,ABC_XYZ!$A$5:$A$137,0)),I102*Parametros!$B$13)</f>
        <v>284.872379703351</v>
      </c>
      <c r="K102" s="27" t="n">
        <f aca="false">IFERROR(VLOOKUP(C102,Parametros!$A$36:$B$41,2,FALSE()),Parametros!$B$12)</f>
        <v>1</v>
      </c>
      <c r="L102" s="23" t="n">
        <f aca="false">H102*J102*SQRT(K102)</f>
        <v>365.078644189246</v>
      </c>
      <c r="M102" s="29" t="n">
        <v>548</v>
      </c>
      <c r="N102" s="24" t="n">
        <v>0.328467153284672</v>
      </c>
      <c r="O102" s="3" t="s">
        <v>424</v>
      </c>
      <c r="P102" s="30" t="n">
        <f aca="false">IF(AND(ISNUMBER(M102),ISNUMBER(N102)),M102*N102/7,"")</f>
        <v>25.7142857142857</v>
      </c>
      <c r="Q102" s="23" t="n">
        <f aca="false">IF(ISNUMBER(P102),I102*P102,"")</f>
        <v>29988</v>
      </c>
      <c r="R102" s="23" t="n">
        <f aca="false">IF(ISNUMBER(Q102),MAX(0,MIN(L102,Q102-I102*K102)),L102)</f>
        <v>365.078644189246</v>
      </c>
      <c r="S102" s="23" t="n">
        <f aca="false">R102+I102*K102</f>
        <v>1531.27864418925</v>
      </c>
      <c r="T102" s="23" t="n">
        <v>4472</v>
      </c>
      <c r="U102" s="23" t="n">
        <v>0</v>
      </c>
      <c r="V102" s="23" t="n">
        <f aca="false">T102+U102</f>
        <v>4472</v>
      </c>
      <c r="W102" s="30" t="n">
        <f aca="false">IF(I102&gt;0,V102/I102,"")</f>
        <v>3.83467672783399</v>
      </c>
      <c r="X102" s="3" t="str">
        <f aca="false">IF(I102&lt;=0,"SIN FCST",IF(V102&lt;R102,"BAJO SS",IF(T102&lt;R102,"BAJO SS (XLIB CUBRE)",IF(V102&lt;S102,"BAJO P.REORDEN",IF(AND(ISNUMBER(Q102),V102&gt;Q102),"SOBRE MAX VENDIBLE","OK")))))</f>
        <v>OK</v>
      </c>
    </row>
    <row r="103" customFormat="false" ht="15" hidden="false" customHeight="false" outlineLevel="0" collapsed="false">
      <c r="A103" s="3" t="n">
        <v>30001988</v>
      </c>
      <c r="B103" s="3" t="s">
        <v>293</v>
      </c>
      <c r="C103" s="3" t="s">
        <v>129</v>
      </c>
      <c r="D103" s="3" t="s">
        <v>370</v>
      </c>
      <c r="E103" s="3" t="s">
        <v>363</v>
      </c>
      <c r="F103" s="3" t="str">
        <f aca="false">IFERROR(INDEX(ABC_XYZ!$L$5:$L$137,MATCH(A103,ABC_XYZ!$A$5:$A$137,0)),"SIN HIST")</f>
        <v>CY</v>
      </c>
      <c r="G103" s="24" t="n">
        <f aca="false">IF(LEFT(F103,1)="A",Parametros!$B$8,IF(LEFT(F103,1)="B",Parametros!$B$9,IF(LEFT(F103,1)="C",Parametros!$B$10,Parametros!$B$11)))</f>
        <v>0.9</v>
      </c>
      <c r="H103" s="27" t="n">
        <f aca="false">NORMSINV(G103)</f>
        <v>1.2815515655446</v>
      </c>
      <c r="I103" s="23" t="n">
        <v>1125</v>
      </c>
      <c r="J103" s="23" t="n">
        <f aca="false">IFERROR(INDEX(ABC_XYZ!$R$5:$R$137,MATCH(A103,ABC_XYZ!$A$5:$A$137,0)),I103*Parametros!$B$13)</f>
        <v>1542.36290114794</v>
      </c>
      <c r="K103" s="27" t="n">
        <f aca="false">IFERROR(VLOOKUP(C103,Parametros!$A$36:$B$41,2,FALSE()),Parametros!$B$12)</f>
        <v>1</v>
      </c>
      <c r="L103" s="23" t="n">
        <f aca="false">H103*J103*SQRT(K103)</f>
        <v>1976.61759060406</v>
      </c>
      <c r="M103" s="29" t="n">
        <v>214</v>
      </c>
      <c r="N103" s="24" t="n">
        <v>0.266355140186916</v>
      </c>
      <c r="O103" s="3" t="s">
        <v>371</v>
      </c>
      <c r="P103" s="30" t="n">
        <f aca="false">IF(AND(ISNUMBER(M103),ISNUMBER(N103)),M103*N103/7,"")</f>
        <v>8.14285714285714</v>
      </c>
      <c r="Q103" s="23" t="n">
        <f aca="false">IF(ISNUMBER(P103),I103*P103,"")</f>
        <v>9160.71428571429</v>
      </c>
      <c r="R103" s="23" t="n">
        <f aca="false">IF(ISNUMBER(Q103),MAX(0,MIN(L103,Q103-I103*K103)),L103)</f>
        <v>1976.61759060406</v>
      </c>
      <c r="S103" s="23" t="n">
        <f aca="false">R103+I103*K103</f>
        <v>3101.61759060406</v>
      </c>
      <c r="T103" s="23" t="n">
        <v>13103.1</v>
      </c>
      <c r="U103" s="23" t="n">
        <v>0</v>
      </c>
      <c r="V103" s="23" t="n">
        <f aca="false">T103+U103</f>
        <v>13103.1</v>
      </c>
      <c r="W103" s="30" t="n">
        <f aca="false">IF(I103&gt;0,V103/I103,"")</f>
        <v>11.6472</v>
      </c>
      <c r="X103" s="3" t="str">
        <f aca="false">IF(I103&lt;=0,"SIN FCST",IF(V103&lt;R103,"BAJO SS",IF(T103&lt;R103,"BAJO SS (XLIB CUBRE)",IF(V103&lt;S103,"BAJO P.REORDEN",IF(AND(ISNUMBER(Q103),V103&gt;Q103),"SOBRE MAX VENDIBLE","OK")))))</f>
        <v>SOBRE MAX VENDIBLE</v>
      </c>
    </row>
    <row r="104" customFormat="false" ht="15" hidden="false" customHeight="false" outlineLevel="0" collapsed="false">
      <c r="A104" s="3" t="n">
        <v>30002325</v>
      </c>
      <c r="B104" s="3" t="s">
        <v>425</v>
      </c>
      <c r="C104" s="3" t="s">
        <v>126</v>
      </c>
      <c r="D104" s="3" t="s">
        <v>370</v>
      </c>
      <c r="E104" s="3"/>
      <c r="F104" s="3" t="str">
        <f aca="false">IFERROR(INDEX(ABC_XYZ!$L$5:$L$137,MATCH(A104,ABC_XYZ!$A$5:$A$137,0)),"SIN HIST")</f>
        <v>CX</v>
      </c>
      <c r="G104" s="24" t="n">
        <f aca="false">IF(LEFT(F104,1)="A",Parametros!$B$8,IF(LEFT(F104,1)="B",Parametros!$B$9,IF(LEFT(F104,1)="C",Parametros!$B$10,Parametros!$B$11)))</f>
        <v>0.9</v>
      </c>
      <c r="H104" s="27" t="n">
        <f aca="false">NORMSINV(G104)</f>
        <v>1.2815515655446</v>
      </c>
      <c r="I104" s="23" t="n">
        <v>930.3</v>
      </c>
      <c r="J104" s="23" t="n">
        <f aca="false">IFERROR(INDEX(ABC_XYZ!$R$5:$R$137,MATCH(A104,ABC_XYZ!$A$5:$A$137,0)),I104*Parametros!$B$13)</f>
        <v>1428.72438033355</v>
      </c>
      <c r="K104" s="27" t="n">
        <f aca="false">IFERROR(VLOOKUP(C104,Parametros!$A$36:$B$41,2,FALSE()),Parametros!$B$12)</f>
        <v>1</v>
      </c>
      <c r="L104" s="23" t="n">
        <f aca="false">H104*J104*SQRT(K104)</f>
        <v>1830.9839663482</v>
      </c>
      <c r="M104" s="29"/>
      <c r="N104" s="24"/>
      <c r="O104" s="3"/>
      <c r="P104" s="30" t="str">
        <f aca="false">IF(AND(ISNUMBER(M104),ISNUMBER(N104)),M104*N104/7,"")</f>
        <v/>
      </c>
      <c r="Q104" s="23" t="str">
        <f aca="false">IF(ISNUMBER(P104),I104*P104,"")</f>
        <v/>
      </c>
      <c r="R104" s="23" t="n">
        <f aca="false">IF(ISNUMBER(Q104),MAX(0,MIN(L104,Q104-I104*K104)),L104)</f>
        <v>1830.9839663482</v>
      </c>
      <c r="S104" s="23" t="n">
        <f aca="false">R104+I104*K104</f>
        <v>2761.2839663482</v>
      </c>
      <c r="T104" s="23" t="n">
        <v>9234</v>
      </c>
      <c r="U104" s="23" t="n">
        <v>0</v>
      </c>
      <c r="V104" s="23" t="n">
        <f aca="false">T104+U104</f>
        <v>9234</v>
      </c>
      <c r="W104" s="30" t="n">
        <f aca="false">IF(I104&gt;0,V104/I104,"")</f>
        <v>9.92583037729765</v>
      </c>
      <c r="X104" s="3" t="str">
        <f aca="false">IF(I104&lt;=0,"SIN FCST",IF(V104&lt;R104,"BAJO SS",IF(T104&lt;R104,"BAJO SS (XLIB CUBRE)",IF(V104&lt;S104,"BAJO P.REORDEN",IF(AND(ISNUMBER(Q104),V104&gt;Q104),"SOBRE MAX VENDIBLE","OK")))))</f>
        <v>OK</v>
      </c>
    </row>
    <row r="105" customFormat="false" ht="15" hidden="false" customHeight="false" outlineLevel="0" collapsed="false">
      <c r="A105" s="3" t="n">
        <v>30001776</v>
      </c>
      <c r="B105" s="3" t="s">
        <v>426</v>
      </c>
      <c r="C105" s="3" t="s">
        <v>126</v>
      </c>
      <c r="D105" s="3" t="s">
        <v>370</v>
      </c>
      <c r="E105" s="3" t="s">
        <v>363</v>
      </c>
      <c r="F105" s="3" t="str">
        <f aca="false">IFERROR(INDEX(ABC_XYZ!$L$5:$L$137,MATCH(A105,ABC_XYZ!$A$5:$A$137,0)),"SIN HIST")</f>
        <v>CY</v>
      </c>
      <c r="G105" s="24" t="n">
        <f aca="false">IF(LEFT(F105,1)="A",Parametros!$B$8,IF(LEFT(F105,1)="B",Parametros!$B$9,IF(LEFT(F105,1)="C",Parametros!$B$10,Parametros!$B$11)))</f>
        <v>0.9</v>
      </c>
      <c r="H105" s="27" t="n">
        <f aca="false">NORMSINV(G105)</f>
        <v>1.2815515655446</v>
      </c>
      <c r="I105" s="23" t="n">
        <v>815.8</v>
      </c>
      <c r="J105" s="23" t="n">
        <f aca="false">IFERROR(INDEX(ABC_XYZ!$R$5:$R$137,MATCH(A105,ABC_XYZ!$A$5:$A$137,0)),I105*Parametros!$B$13)</f>
        <v>668.028139916847</v>
      </c>
      <c r="K105" s="27" t="n">
        <f aca="false">IFERROR(VLOOKUP(C105,Parametros!$A$36:$B$41,2,FALSE()),Parametros!$B$12)</f>
        <v>1</v>
      </c>
      <c r="L105" s="23" t="n">
        <f aca="false">H105*J105*SQRT(K105)</f>
        <v>856.112508538283</v>
      </c>
      <c r="M105" s="29" t="n">
        <v>184</v>
      </c>
      <c r="N105" s="24" t="n">
        <v>0.190217391304348</v>
      </c>
      <c r="O105" s="3" t="s">
        <v>364</v>
      </c>
      <c r="P105" s="30" t="n">
        <f aca="false">IF(AND(ISNUMBER(M105),ISNUMBER(N105)),M105*N105/7,"")</f>
        <v>5</v>
      </c>
      <c r="Q105" s="23" t="n">
        <f aca="false">IF(ISNUMBER(P105),I105*P105,"")</f>
        <v>4079</v>
      </c>
      <c r="R105" s="23" t="n">
        <f aca="false">IF(ISNUMBER(Q105),MAX(0,MIN(L105,Q105-I105*K105)),L105)</f>
        <v>856.112508538283</v>
      </c>
      <c r="S105" s="23" t="n">
        <f aca="false">R105+I105*K105</f>
        <v>1671.91250853828</v>
      </c>
      <c r="T105" s="23" t="n">
        <v>4884</v>
      </c>
      <c r="U105" s="23" t="n">
        <v>0</v>
      </c>
      <c r="V105" s="23" t="n">
        <f aca="false">T105+U105</f>
        <v>4884</v>
      </c>
      <c r="W105" s="30" t="n">
        <f aca="false">IF(I105&gt;0,V105/I105,"")</f>
        <v>5.98676146114244</v>
      </c>
      <c r="X105" s="3" t="str">
        <f aca="false">IF(I105&lt;=0,"SIN FCST",IF(V105&lt;R105,"BAJO SS",IF(T105&lt;R105,"BAJO SS (XLIB CUBRE)",IF(V105&lt;S105,"BAJO P.REORDEN",IF(AND(ISNUMBER(Q105),V105&gt;Q105),"SOBRE MAX VENDIBLE","OK")))))</f>
        <v>SOBRE MAX VENDIBLE</v>
      </c>
    </row>
    <row r="106" customFormat="false" ht="15" hidden="false" customHeight="false" outlineLevel="0" collapsed="false">
      <c r="A106" s="3" t="n">
        <v>30002269</v>
      </c>
      <c r="B106" s="3" t="s">
        <v>427</v>
      </c>
      <c r="C106" s="3" t="s">
        <v>124</v>
      </c>
      <c r="D106" s="3" t="s">
        <v>370</v>
      </c>
      <c r="E106" s="3"/>
      <c r="F106" s="3" t="str">
        <f aca="false">IFERROR(INDEX(ABC_XYZ!$L$5:$L$137,MATCH(A106,ABC_XYZ!$A$5:$A$137,0)),"SIN HIST")</f>
        <v>CY</v>
      </c>
      <c r="G106" s="24" t="n">
        <f aca="false">IF(LEFT(F106,1)="A",Parametros!$B$8,IF(LEFT(F106,1)="B",Parametros!$B$9,IF(LEFT(F106,1)="C",Parametros!$B$10,Parametros!$B$11)))</f>
        <v>0.9</v>
      </c>
      <c r="H106" s="27" t="n">
        <f aca="false">NORMSINV(G106)</f>
        <v>1.2815515655446</v>
      </c>
      <c r="I106" s="23" t="n">
        <v>810.4</v>
      </c>
      <c r="J106" s="23" t="n">
        <f aca="false">IFERROR(INDEX(ABC_XYZ!$R$5:$R$137,MATCH(A106,ABC_XYZ!$A$5:$A$137,0)),I106*Parametros!$B$13)</f>
        <v>1889.89109028216</v>
      </c>
      <c r="K106" s="27" t="n">
        <f aca="false">IFERROR(VLOOKUP(C106,Parametros!$A$36:$B$41,2,FALSE()),Parametros!$B$12)</f>
        <v>1</v>
      </c>
      <c r="L106" s="23" t="n">
        <f aca="false">H106*J106*SQRT(K106)</f>
        <v>2421.99288545989</v>
      </c>
      <c r="M106" s="29" t="n">
        <v>189</v>
      </c>
      <c r="N106" s="24" t="n">
        <v>0.29</v>
      </c>
      <c r="O106" s="3" t="s">
        <v>424</v>
      </c>
      <c r="P106" s="30" t="n">
        <f aca="false">IF(AND(ISNUMBER(M106),ISNUMBER(N106)),M106*N106/7,"")</f>
        <v>7.83</v>
      </c>
      <c r="Q106" s="23" t="n">
        <f aca="false">IF(ISNUMBER(P106),I106*P106,"")</f>
        <v>6345.432</v>
      </c>
      <c r="R106" s="23" t="n">
        <f aca="false">IF(ISNUMBER(Q106),MAX(0,MIN(L106,Q106-I106*K106)),L106)</f>
        <v>2421.99288545989</v>
      </c>
      <c r="S106" s="23" t="n">
        <f aca="false">R106+I106*K106</f>
        <v>3232.39288545989</v>
      </c>
      <c r="T106" s="23" t="n">
        <v>4092</v>
      </c>
      <c r="U106" s="23" t="n">
        <v>0</v>
      </c>
      <c r="V106" s="23" t="n">
        <f aca="false">T106+U106</f>
        <v>4092</v>
      </c>
      <c r="W106" s="30" t="n">
        <f aca="false">IF(I106&gt;0,V106/I106,"")</f>
        <v>5.04935834155972</v>
      </c>
      <c r="X106" s="3" t="str">
        <f aca="false">IF(I106&lt;=0,"SIN FCST",IF(V106&lt;R106,"BAJO SS",IF(T106&lt;R106,"BAJO SS (XLIB CUBRE)",IF(V106&lt;S106,"BAJO P.REORDEN",IF(AND(ISNUMBER(Q106),V106&gt;Q106),"SOBRE MAX VENDIBLE","OK")))))</f>
        <v>OK</v>
      </c>
    </row>
    <row r="107" customFormat="false" ht="15" hidden="false" customHeight="false" outlineLevel="0" collapsed="false">
      <c r="A107" s="3" t="n">
        <v>30000542</v>
      </c>
      <c r="B107" s="3" t="s">
        <v>428</v>
      </c>
      <c r="C107" s="3" t="s">
        <v>128</v>
      </c>
      <c r="D107" s="3" t="s">
        <v>362</v>
      </c>
      <c r="E107" s="3" t="s">
        <v>363</v>
      </c>
      <c r="F107" s="3" t="str">
        <f aca="false">IFERROR(INDEX(ABC_XYZ!$L$5:$L$137,MATCH(A107,ABC_XYZ!$A$5:$A$137,0)),"SIN HIST")</f>
        <v>CY</v>
      </c>
      <c r="G107" s="24" t="n">
        <f aca="false">IF(LEFT(F107,1)="A",Parametros!$B$8,IF(LEFT(F107,1)="B",Parametros!$B$9,IF(LEFT(F107,1)="C",Parametros!$B$10,Parametros!$B$11)))</f>
        <v>0.9</v>
      </c>
      <c r="H107" s="27" t="n">
        <f aca="false">NORMSINV(G107)</f>
        <v>1.2815515655446</v>
      </c>
      <c r="I107" s="23" t="n">
        <v>689.1</v>
      </c>
      <c r="J107" s="23" t="n">
        <f aca="false">IFERROR(INDEX(ABC_XYZ!$R$5:$R$137,MATCH(A107,ABC_XYZ!$A$5:$A$137,0)),I107*Parametros!$B$13)</f>
        <v>334.560826845909</v>
      </c>
      <c r="K107" s="27" t="n">
        <f aca="false">IFERROR(VLOOKUP(C107,Parametros!$A$36:$B$41,2,FALSE()),Parametros!$B$12)</f>
        <v>1</v>
      </c>
      <c r="L107" s="23" t="n">
        <f aca="false">H107*J107*SQRT(K107)</f>
        <v>428.756951414271</v>
      </c>
      <c r="M107" s="29" t="n">
        <v>365</v>
      </c>
      <c r="N107" s="24" t="n">
        <v>0.191780821917808</v>
      </c>
      <c r="O107" s="3" t="s">
        <v>364</v>
      </c>
      <c r="P107" s="30" t="n">
        <f aca="false">IF(AND(ISNUMBER(M107),ISNUMBER(N107)),M107*N107/7,"")</f>
        <v>10</v>
      </c>
      <c r="Q107" s="23" t="n">
        <f aca="false">IF(ISNUMBER(P107),I107*P107,"")</f>
        <v>6891</v>
      </c>
      <c r="R107" s="23" t="n">
        <f aca="false">IF(ISNUMBER(Q107),MAX(0,MIN(L107,Q107-I107*K107)),L107)</f>
        <v>428.756951414271</v>
      </c>
      <c r="S107" s="23" t="n">
        <f aca="false">R107+I107*K107</f>
        <v>1117.85695141427</v>
      </c>
      <c r="T107" s="23" t="n">
        <v>1255.1</v>
      </c>
      <c r="U107" s="23" t="n">
        <v>0</v>
      </c>
      <c r="V107" s="23" t="n">
        <f aca="false">T107+U107</f>
        <v>1255.1</v>
      </c>
      <c r="W107" s="30" t="n">
        <f aca="false">IF(I107&gt;0,V107/I107,"")</f>
        <v>1.82136119576259</v>
      </c>
      <c r="X107" s="3" t="str">
        <f aca="false">IF(I107&lt;=0,"SIN FCST",IF(V107&lt;R107,"BAJO SS",IF(T107&lt;R107,"BAJO SS (XLIB CUBRE)",IF(V107&lt;S107,"BAJO P.REORDEN",IF(AND(ISNUMBER(Q107),V107&gt;Q107),"SOBRE MAX VENDIBLE","OK")))))</f>
        <v>OK</v>
      </c>
    </row>
    <row r="108" customFormat="false" ht="15" hidden="false" customHeight="false" outlineLevel="0" collapsed="false">
      <c r="A108" s="3" t="n">
        <v>30000479</v>
      </c>
      <c r="B108" s="3" t="s">
        <v>429</v>
      </c>
      <c r="C108" s="3" t="s">
        <v>129</v>
      </c>
      <c r="D108" s="3" t="s">
        <v>370</v>
      </c>
      <c r="E108" s="3" t="s">
        <v>363</v>
      </c>
      <c r="F108" s="3" t="str">
        <f aca="false">IFERROR(INDEX(ABC_XYZ!$L$5:$L$137,MATCH(A108,ABC_XYZ!$A$5:$A$137,0)),"SIN HIST")</f>
        <v>CY</v>
      </c>
      <c r="G108" s="24" t="n">
        <f aca="false">IF(LEFT(F108,1)="A",Parametros!$B$8,IF(LEFT(F108,1)="B",Parametros!$B$9,IF(LEFT(F108,1)="C",Parametros!$B$10,Parametros!$B$11)))</f>
        <v>0.9</v>
      </c>
      <c r="H108" s="27" t="n">
        <f aca="false">NORMSINV(G108)</f>
        <v>1.2815515655446</v>
      </c>
      <c r="I108" s="23" t="n">
        <v>659</v>
      </c>
      <c r="J108" s="23" t="n">
        <f aca="false">IFERROR(INDEX(ABC_XYZ!$R$5:$R$137,MATCH(A108,ABC_XYZ!$A$5:$A$137,0)),I108*Parametros!$B$13)</f>
        <v>999.360500613864</v>
      </c>
      <c r="K108" s="27" t="n">
        <f aca="false">IFERROR(VLOOKUP(C108,Parametros!$A$36:$B$41,2,FALSE()),Parametros!$B$12)</f>
        <v>1</v>
      </c>
      <c r="L108" s="23" t="n">
        <f aca="false">H108*J108*SQRT(K108)</f>
        <v>1280.73201410513</v>
      </c>
      <c r="M108" s="29" t="n">
        <v>250</v>
      </c>
      <c r="N108" s="24" t="n">
        <v>0.256</v>
      </c>
      <c r="O108" s="3" t="s">
        <v>364</v>
      </c>
      <c r="P108" s="30" t="n">
        <f aca="false">IF(AND(ISNUMBER(M108),ISNUMBER(N108)),M108*N108/7,"")</f>
        <v>9.14285714285714</v>
      </c>
      <c r="Q108" s="23" t="n">
        <f aca="false">IF(ISNUMBER(P108),I108*P108,"")</f>
        <v>6025.14285714286</v>
      </c>
      <c r="R108" s="23" t="n">
        <f aca="false">IF(ISNUMBER(Q108),MAX(0,MIN(L108,Q108-I108*K108)),L108)</f>
        <v>1280.73201410513</v>
      </c>
      <c r="S108" s="23" t="n">
        <f aca="false">R108+I108*K108</f>
        <v>1939.73201410513</v>
      </c>
      <c r="T108" s="23" t="n">
        <v>5940</v>
      </c>
      <c r="U108" s="23" t="n">
        <v>0</v>
      </c>
      <c r="V108" s="23" t="n">
        <f aca="false">T108+U108</f>
        <v>5940</v>
      </c>
      <c r="W108" s="30" t="n">
        <f aca="false">IF(I108&gt;0,V108/I108,"")</f>
        <v>9.01365705614568</v>
      </c>
      <c r="X108" s="3" t="str">
        <f aca="false">IF(I108&lt;=0,"SIN FCST",IF(V108&lt;R108,"BAJO SS",IF(T108&lt;R108,"BAJO SS (XLIB CUBRE)",IF(V108&lt;S108,"BAJO P.REORDEN",IF(AND(ISNUMBER(Q108),V108&gt;Q108),"SOBRE MAX VENDIBLE","OK")))))</f>
        <v>OK</v>
      </c>
    </row>
    <row r="109" customFormat="false" ht="15" hidden="false" customHeight="false" outlineLevel="0" collapsed="false">
      <c r="A109" s="3" t="n">
        <v>30002285</v>
      </c>
      <c r="B109" s="3" t="s">
        <v>286</v>
      </c>
      <c r="C109" s="3" t="s">
        <v>129</v>
      </c>
      <c r="D109" s="3" t="s">
        <v>370</v>
      </c>
      <c r="E109" s="3"/>
      <c r="F109" s="3" t="str">
        <f aca="false">IFERROR(INDEX(ABC_XYZ!$L$5:$L$137,MATCH(A109,ABC_XYZ!$A$5:$A$137,0)),"SIN HIST")</f>
        <v>CY</v>
      </c>
      <c r="G109" s="24" t="n">
        <f aca="false">IF(LEFT(F109,1)="A",Parametros!$B$8,IF(LEFT(F109,1)="B",Parametros!$B$9,IF(LEFT(F109,1)="C",Parametros!$B$10,Parametros!$B$11)))</f>
        <v>0.9</v>
      </c>
      <c r="H109" s="27" t="n">
        <f aca="false">NORMSINV(G109)</f>
        <v>1.2815515655446</v>
      </c>
      <c r="I109" s="23" t="n">
        <v>596.4</v>
      </c>
      <c r="J109" s="23" t="n">
        <f aca="false">IFERROR(INDEX(ABC_XYZ!$R$5:$R$137,MATCH(A109,ABC_XYZ!$A$5:$A$137,0)),I109*Parametros!$B$13)</f>
        <v>401.257793032563</v>
      </c>
      <c r="K109" s="27" t="n">
        <f aca="false">IFERROR(VLOOKUP(C109,Parametros!$A$36:$B$41,2,FALSE()),Parametros!$B$12)</f>
        <v>1</v>
      </c>
      <c r="L109" s="23" t="n">
        <f aca="false">H109*J109*SQRT(K109)</f>
        <v>514.232552847852</v>
      </c>
      <c r="M109" s="29" t="n">
        <v>184</v>
      </c>
      <c r="N109" s="24" t="n">
        <v>0.27</v>
      </c>
      <c r="O109" s="3" t="s">
        <v>364</v>
      </c>
      <c r="P109" s="30" t="n">
        <f aca="false">IF(AND(ISNUMBER(M109),ISNUMBER(N109)),M109*N109/7,"")</f>
        <v>7.09714285714286</v>
      </c>
      <c r="Q109" s="23" t="n">
        <f aca="false">IF(ISNUMBER(P109),I109*P109,"")</f>
        <v>4232.736</v>
      </c>
      <c r="R109" s="23" t="n">
        <f aca="false">IF(ISNUMBER(Q109),MAX(0,MIN(L109,Q109-I109*K109)),L109)</f>
        <v>514.232552847852</v>
      </c>
      <c r="S109" s="23" t="n">
        <f aca="false">R109+I109*K109</f>
        <v>1110.63255284785</v>
      </c>
      <c r="T109" s="23" t="n">
        <v>10146</v>
      </c>
      <c r="U109" s="23" t="n">
        <v>0</v>
      </c>
      <c r="V109" s="23" t="n">
        <f aca="false">T109+U109</f>
        <v>10146</v>
      </c>
      <c r="W109" s="30" t="n">
        <f aca="false">IF(I109&gt;0,V109/I109,"")</f>
        <v>17.0120724346076</v>
      </c>
      <c r="X109" s="3" t="str">
        <f aca="false">IF(I109&lt;=0,"SIN FCST",IF(V109&lt;R109,"BAJO SS",IF(T109&lt;R109,"BAJO SS (XLIB CUBRE)",IF(V109&lt;S109,"BAJO P.REORDEN",IF(AND(ISNUMBER(Q109),V109&gt;Q109),"SOBRE MAX VENDIBLE","OK")))))</f>
        <v>SOBRE MAX VENDIBLE</v>
      </c>
    </row>
    <row r="110" customFormat="false" ht="15" hidden="false" customHeight="false" outlineLevel="0" collapsed="false">
      <c r="A110" s="3" t="n">
        <v>30002282</v>
      </c>
      <c r="B110" s="3" t="s">
        <v>292</v>
      </c>
      <c r="C110" s="3" t="s">
        <v>129</v>
      </c>
      <c r="D110" s="3" t="s">
        <v>370</v>
      </c>
      <c r="E110" s="3"/>
      <c r="F110" s="3" t="str">
        <f aca="false">IFERROR(INDEX(ABC_XYZ!$L$5:$L$137,MATCH(A110,ABC_XYZ!$A$5:$A$137,0)),"SIN HIST")</f>
        <v>CX</v>
      </c>
      <c r="G110" s="24" t="n">
        <f aca="false">IF(LEFT(F110,1)="A",Parametros!$B$8,IF(LEFT(F110,1)="B",Parametros!$B$9,IF(LEFT(F110,1)="C",Parametros!$B$10,Parametros!$B$11)))</f>
        <v>0.9</v>
      </c>
      <c r="H110" s="27" t="n">
        <f aca="false">NORMSINV(G110)</f>
        <v>1.2815515655446</v>
      </c>
      <c r="I110" s="23" t="n">
        <v>531.8</v>
      </c>
      <c r="J110" s="23" t="n">
        <f aca="false">IFERROR(INDEX(ABC_XYZ!$R$5:$R$137,MATCH(A110,ABC_XYZ!$A$5:$A$137,0)),I110*Parametros!$B$13)</f>
        <v>508.335709802796</v>
      </c>
      <c r="K110" s="27" t="n">
        <f aca="false">IFERROR(VLOOKUP(C110,Parametros!$A$36:$B$41,2,FALSE()),Parametros!$B$12)</f>
        <v>1</v>
      </c>
      <c r="L110" s="23" t="n">
        <f aca="false">H110*J110*SQRT(K110)</f>
        <v>651.458424719999</v>
      </c>
      <c r="M110" s="29" t="n">
        <v>184</v>
      </c>
      <c r="N110" s="24" t="n">
        <v>0.27</v>
      </c>
      <c r="O110" s="3" t="s">
        <v>364</v>
      </c>
      <c r="P110" s="30" t="n">
        <f aca="false">IF(AND(ISNUMBER(M110),ISNUMBER(N110)),M110*N110/7,"")</f>
        <v>7.09714285714286</v>
      </c>
      <c r="Q110" s="23" t="n">
        <f aca="false">IF(ISNUMBER(P110),I110*P110,"")</f>
        <v>3774.26057142857</v>
      </c>
      <c r="R110" s="23" t="n">
        <f aca="false">IF(ISNUMBER(Q110),MAX(0,MIN(L110,Q110-I110*K110)),L110)</f>
        <v>651.458424719999</v>
      </c>
      <c r="S110" s="23" t="n">
        <f aca="false">R110+I110*K110</f>
        <v>1183.25842472</v>
      </c>
      <c r="T110" s="23" t="n">
        <v>6630</v>
      </c>
      <c r="U110" s="23" t="n">
        <v>0</v>
      </c>
      <c r="V110" s="23" t="n">
        <f aca="false">T110+U110</f>
        <v>6630</v>
      </c>
      <c r="W110" s="30" t="n">
        <f aca="false">IF(I110&gt;0,V110/I110,"")</f>
        <v>12.4670928920647</v>
      </c>
      <c r="X110" s="3" t="str">
        <f aca="false">IF(I110&lt;=0,"SIN FCST",IF(V110&lt;R110,"BAJO SS",IF(T110&lt;R110,"BAJO SS (XLIB CUBRE)",IF(V110&lt;S110,"BAJO P.REORDEN",IF(AND(ISNUMBER(Q110),V110&gt;Q110),"SOBRE MAX VENDIBLE","OK")))))</f>
        <v>SOBRE MAX VENDIBLE</v>
      </c>
    </row>
    <row r="111" customFormat="false" ht="15" hidden="false" customHeight="false" outlineLevel="0" collapsed="false">
      <c r="A111" s="3" t="n">
        <v>30001411</v>
      </c>
      <c r="B111" s="3" t="s">
        <v>430</v>
      </c>
      <c r="C111" s="3" t="s">
        <v>129</v>
      </c>
      <c r="D111" s="3" t="s">
        <v>370</v>
      </c>
      <c r="E111" s="3" t="s">
        <v>363</v>
      </c>
      <c r="F111" s="3" t="str">
        <f aca="false">IFERROR(INDEX(ABC_XYZ!$L$5:$L$137,MATCH(A111,ABC_XYZ!$A$5:$A$137,0)),"SIN HIST")</f>
        <v>CZ</v>
      </c>
      <c r="G111" s="24" t="n">
        <f aca="false">IF(LEFT(F111,1)="A",Parametros!$B$8,IF(LEFT(F111,1)="B",Parametros!$B$9,IF(LEFT(F111,1)="C",Parametros!$B$10,Parametros!$B$11)))</f>
        <v>0.9</v>
      </c>
      <c r="H111" s="27" t="n">
        <f aca="false">NORMSINV(G111)</f>
        <v>1.2815515655446</v>
      </c>
      <c r="I111" s="23" t="n">
        <v>407.9</v>
      </c>
      <c r="J111" s="23" t="n">
        <f aca="false">IFERROR(INDEX(ABC_XYZ!$R$5:$R$137,MATCH(A111,ABC_XYZ!$A$5:$A$137,0)),I111*Parametros!$B$13)</f>
        <v>394.386240803867</v>
      </c>
      <c r="K111" s="27" t="n">
        <f aca="false">IFERROR(VLOOKUP(C111,Parametros!$A$36:$B$41,2,FALSE()),Parametros!$B$12)</f>
        <v>1</v>
      </c>
      <c r="L111" s="23" t="n">
        <f aca="false">H111*J111*SQRT(K111)</f>
        <v>505.426304331445</v>
      </c>
      <c r="M111" s="29" t="n">
        <v>128</v>
      </c>
      <c r="N111" s="24" t="n">
        <v>0.21875</v>
      </c>
      <c r="O111" s="3" t="s">
        <v>364</v>
      </c>
      <c r="P111" s="30" t="n">
        <f aca="false">IF(AND(ISNUMBER(M111),ISNUMBER(N111)),M111*N111/7,"")</f>
        <v>4</v>
      </c>
      <c r="Q111" s="23" t="n">
        <f aca="false">IF(ISNUMBER(P111),I111*P111,"")</f>
        <v>1631.6</v>
      </c>
      <c r="R111" s="23" t="n">
        <f aca="false">IF(ISNUMBER(Q111),MAX(0,MIN(L111,Q111-I111*K111)),L111)</f>
        <v>505.426304331445</v>
      </c>
      <c r="S111" s="23" t="n">
        <f aca="false">R111+I111*K111</f>
        <v>913.326304331445</v>
      </c>
      <c r="T111" s="23" t="n">
        <v>0</v>
      </c>
      <c r="U111" s="23" t="n">
        <v>0</v>
      </c>
      <c r="V111" s="23" t="n">
        <f aca="false">T111+U111</f>
        <v>0</v>
      </c>
      <c r="W111" s="30" t="n">
        <f aca="false">IF(I111&gt;0,V111/I111,"")</f>
        <v>0</v>
      </c>
      <c r="X111" s="3" t="str">
        <f aca="false">IF(I111&lt;=0,"SIN FCST",IF(V111&lt;R111,"BAJO SS",IF(T111&lt;R111,"BAJO SS (XLIB CUBRE)",IF(V111&lt;S111,"BAJO P.REORDEN",IF(AND(ISNUMBER(Q111),V111&gt;Q111),"SOBRE MAX VENDIBLE","OK")))))</f>
        <v>BAJO SS</v>
      </c>
    </row>
    <row r="112" customFormat="false" ht="15" hidden="false" customHeight="false" outlineLevel="0" collapsed="false">
      <c r="A112" s="3" t="n">
        <v>30002284</v>
      </c>
      <c r="B112" s="3" t="s">
        <v>298</v>
      </c>
      <c r="C112" s="3" t="s">
        <v>130</v>
      </c>
      <c r="D112" s="3" t="s">
        <v>431</v>
      </c>
      <c r="E112" s="3"/>
      <c r="F112" s="3" t="str">
        <f aca="false">IFERROR(INDEX(ABC_XYZ!$L$5:$L$137,MATCH(A112,ABC_XYZ!$A$5:$A$137,0)),"SIN HIST")</f>
        <v>CY</v>
      </c>
      <c r="G112" s="24" t="n">
        <f aca="false">IF(LEFT(F112,1)="A",Parametros!$B$8,IF(LEFT(F112,1)="B",Parametros!$B$9,IF(LEFT(F112,1)="C",Parametros!$B$10,Parametros!$B$11)))</f>
        <v>0.9</v>
      </c>
      <c r="H112" s="27" t="n">
        <f aca="false">NORMSINV(G112)</f>
        <v>1.2815515655446</v>
      </c>
      <c r="I112" s="23" t="n">
        <v>193.6</v>
      </c>
      <c r="J112" s="23" t="n">
        <f aca="false">IFERROR(INDEX(ABC_XYZ!$R$5:$R$137,MATCH(A112,ABC_XYZ!$A$5:$A$137,0)),I112*Parametros!$B$13)</f>
        <v>298.976327107738</v>
      </c>
      <c r="K112" s="27" t="n">
        <f aca="false">IFERROR(VLOOKUP(C112,Parametros!$A$36:$B$41,2,FALSE()),Parametros!$B$12)</f>
        <v>1</v>
      </c>
      <c r="L112" s="23" t="n">
        <f aca="false">H112*J112*SQRT(K112)</f>
        <v>383.153580065697</v>
      </c>
      <c r="M112" s="29"/>
      <c r="N112" s="24"/>
      <c r="O112" s="3"/>
      <c r="P112" s="30" t="str">
        <f aca="false">IF(AND(ISNUMBER(M112),ISNUMBER(N112)),M112*N112/7,"")</f>
        <v/>
      </c>
      <c r="Q112" s="23" t="str">
        <f aca="false">IF(ISNUMBER(P112),I112*P112,"")</f>
        <v/>
      </c>
      <c r="R112" s="23" t="n">
        <f aca="false">IF(ISNUMBER(Q112),MAX(0,MIN(L112,Q112-I112*K112)),L112)</f>
        <v>383.153580065697</v>
      </c>
      <c r="S112" s="23" t="n">
        <f aca="false">R112+I112*K112</f>
        <v>576.753580065697</v>
      </c>
      <c r="T112" s="23" t="n">
        <v>1617</v>
      </c>
      <c r="U112" s="23" t="n">
        <v>0</v>
      </c>
      <c r="V112" s="23" t="n">
        <f aca="false">T112+U112</f>
        <v>1617</v>
      </c>
      <c r="W112" s="30" t="n">
        <f aca="false">IF(I112&gt;0,V112/I112,"")</f>
        <v>8.35227272727273</v>
      </c>
      <c r="X112" s="3" t="str">
        <f aca="false">IF(I112&lt;=0,"SIN FCST",IF(V112&lt;R112,"BAJO SS",IF(T112&lt;R112,"BAJO SS (XLIB CUBRE)",IF(V112&lt;S112,"BAJO P.REORDEN",IF(AND(ISNUMBER(Q112),V112&gt;Q112),"SOBRE MAX VENDIBLE","OK")))))</f>
        <v>OK</v>
      </c>
    </row>
    <row r="113" customFormat="false" ht="15" hidden="false" customHeight="false" outlineLevel="0" collapsed="false">
      <c r="A113" s="3" t="n">
        <v>30001412</v>
      </c>
      <c r="B113" s="3" t="s">
        <v>432</v>
      </c>
      <c r="C113" s="3" t="s">
        <v>129</v>
      </c>
      <c r="D113" s="3" t="s">
        <v>370</v>
      </c>
      <c r="E113" s="3" t="s">
        <v>363</v>
      </c>
      <c r="F113" s="3" t="str">
        <f aca="false">IFERROR(INDEX(ABC_XYZ!$L$5:$L$137,MATCH(A113,ABC_XYZ!$A$5:$A$137,0)),"SIN HIST")</f>
        <v>CZ</v>
      </c>
      <c r="G113" s="24" t="n">
        <f aca="false">IF(LEFT(F113,1)="A",Parametros!$B$8,IF(LEFT(F113,1)="B",Parametros!$B$9,IF(LEFT(F113,1)="C",Parametros!$B$10,Parametros!$B$11)))</f>
        <v>0.9</v>
      </c>
      <c r="H113" s="27" t="n">
        <f aca="false">NORMSINV(G113)</f>
        <v>1.2815515655446</v>
      </c>
      <c r="I113" s="23" t="n">
        <v>15.1</v>
      </c>
      <c r="J113" s="23" t="n">
        <f aca="false">IFERROR(INDEX(ABC_XYZ!$R$5:$R$137,MATCH(A113,ABC_XYZ!$A$5:$A$137,0)),I113*Parametros!$B$13)</f>
        <v>95.9199797767093</v>
      </c>
      <c r="K113" s="27" t="n">
        <f aca="false">IFERROR(VLOOKUP(C113,Parametros!$A$36:$B$41,2,FALSE()),Parametros!$B$12)</f>
        <v>1</v>
      </c>
      <c r="L113" s="23" t="n">
        <f aca="false">H113*J113*SQRT(K113)</f>
        <v>122.926400249848</v>
      </c>
      <c r="M113" s="29" t="n">
        <v>189</v>
      </c>
      <c r="N113" s="24" t="n">
        <v>0.211640211640212</v>
      </c>
      <c r="O113" s="3" t="s">
        <v>364</v>
      </c>
      <c r="P113" s="30" t="n">
        <f aca="false">IF(AND(ISNUMBER(M113),ISNUMBER(N113)),M113*N113/7,"")</f>
        <v>5.71428571428571</v>
      </c>
      <c r="Q113" s="23" t="n">
        <f aca="false">IF(ISNUMBER(P113),I113*P113,"")</f>
        <v>86.2857142857143</v>
      </c>
      <c r="R113" s="23" t="n">
        <f aca="false">IF(ISNUMBER(Q113),MAX(0,MIN(L113,Q113-I113*K113)),L113)</f>
        <v>71.1857142857143</v>
      </c>
      <c r="S113" s="23" t="n">
        <f aca="false">R113+I113*K113</f>
        <v>86.2857142857143</v>
      </c>
      <c r="T113" s="23" t="n">
        <v>291.6</v>
      </c>
      <c r="U113" s="23" t="n">
        <v>0</v>
      </c>
      <c r="V113" s="23" t="n">
        <f aca="false">T113+U113</f>
        <v>291.6</v>
      </c>
      <c r="W113" s="30" t="n">
        <f aca="false">IF(I113&gt;0,V113/I113,"")</f>
        <v>19.3112582781457</v>
      </c>
      <c r="X113" s="3" t="str">
        <f aca="false">IF(I113&lt;=0,"SIN FCST",IF(V113&lt;R113,"BAJO SS",IF(T113&lt;R113,"BAJO SS (XLIB CUBRE)",IF(V113&lt;S113,"BAJO P.REORDEN",IF(AND(ISNUMBER(Q113),V113&gt;Q113),"SOBRE MAX VENDIBLE","OK")))))</f>
        <v>SOBRE MAX VENDIBLE</v>
      </c>
    </row>
    <row r="114" customFormat="false" ht="15" hidden="false" customHeight="false" outlineLevel="0" collapsed="false">
      <c r="A114" s="3" t="n">
        <v>30001973</v>
      </c>
      <c r="B114" s="3" t="s">
        <v>316</v>
      </c>
      <c r="C114" s="3" t="s">
        <v>129</v>
      </c>
      <c r="D114" s="3" t="s">
        <v>401</v>
      </c>
      <c r="E114" s="3" t="s">
        <v>363</v>
      </c>
      <c r="F114" s="3" t="str">
        <f aca="false">IFERROR(INDEX(ABC_XYZ!$L$5:$L$137,MATCH(A114,ABC_XYZ!$A$5:$A$137,0)),"SIN HIST")</f>
        <v>CZ</v>
      </c>
      <c r="G114" s="24" t="n">
        <f aca="false">IF(LEFT(F114,1)="A",Parametros!$B$8,IF(LEFT(F114,1)="B",Parametros!$B$9,IF(LEFT(F114,1)="C",Parametros!$B$10,Parametros!$B$11)))</f>
        <v>0.9</v>
      </c>
      <c r="H114" s="27" t="n">
        <f aca="false">NORMSINV(G114)</f>
        <v>1.2815515655446</v>
      </c>
      <c r="I114" s="23" t="n">
        <v>3.4</v>
      </c>
      <c r="J114" s="23" t="n">
        <f aca="false">IFERROR(INDEX(ABC_XYZ!$R$5:$R$137,MATCH(A114,ABC_XYZ!$A$5:$A$137,0)),I114*Parametros!$B$13)</f>
        <v>51.5375430623871</v>
      </c>
      <c r="K114" s="27" t="n">
        <f aca="false">IFERROR(VLOOKUP(C114,Parametros!$A$36:$B$41,2,FALSE()),Parametros!$B$12)</f>
        <v>1</v>
      </c>
      <c r="L114" s="23" t="n">
        <f aca="false">H114*J114*SQRT(K114)</f>
        <v>66.0480189959245</v>
      </c>
      <c r="M114" s="29" t="n">
        <v>365</v>
      </c>
      <c r="N114" s="24" t="n">
        <v>0.498630136986301</v>
      </c>
      <c r="O114" s="3" t="s">
        <v>364</v>
      </c>
      <c r="P114" s="30" t="n">
        <f aca="false">IF(AND(ISNUMBER(M114),ISNUMBER(N114)),M114*N114/7,"")</f>
        <v>26</v>
      </c>
      <c r="Q114" s="23" t="n">
        <f aca="false">IF(ISNUMBER(P114),I114*P114,"")</f>
        <v>88.4</v>
      </c>
      <c r="R114" s="23" t="n">
        <f aca="false">IF(ISNUMBER(Q114),MAX(0,MIN(L114,Q114-I114*K114)),L114)</f>
        <v>66.0480189959245</v>
      </c>
      <c r="S114" s="23" t="n">
        <f aca="false">R114+I114*K114</f>
        <v>69.4480189959245</v>
      </c>
      <c r="T114" s="23" t="n">
        <v>0</v>
      </c>
      <c r="U114" s="23" t="n">
        <v>0</v>
      </c>
      <c r="V114" s="23" t="n">
        <f aca="false">T114+U114</f>
        <v>0</v>
      </c>
      <c r="W114" s="30" t="n">
        <f aca="false">IF(I114&gt;0,V114/I114,"")</f>
        <v>0</v>
      </c>
      <c r="X114" s="3" t="str">
        <f aca="false">IF(I114&lt;=0,"SIN FCST",IF(V114&lt;R114,"BAJO SS",IF(T114&lt;R114,"BAJO SS (XLIB CUBRE)",IF(V114&lt;S114,"BAJO P.REORDEN",IF(AND(ISNUMBER(Q114),V114&gt;Q114),"SOBRE MAX VENDIBLE","OK")))))</f>
        <v>BAJO SS</v>
      </c>
    </row>
    <row r="115" customFormat="false" ht="15" hidden="false" customHeight="false" outlineLevel="0" collapsed="false">
      <c r="A115" s="3" t="n">
        <v>30000395</v>
      </c>
      <c r="B115" s="3" t="s">
        <v>433</v>
      </c>
      <c r="C115" s="3" t="s">
        <v>128</v>
      </c>
      <c r="D115" s="3" t="s">
        <v>362</v>
      </c>
      <c r="E115" s="3" t="s">
        <v>363</v>
      </c>
      <c r="F115" s="3" t="str">
        <f aca="false">IFERROR(INDEX(ABC_XYZ!$L$5:$L$137,MATCH(A115,ABC_XYZ!$A$5:$A$137,0)),"SIN HIST")</f>
        <v>CZ</v>
      </c>
      <c r="G115" s="24" t="n">
        <f aca="false">IF(LEFT(F115,1)="A",Parametros!$B$8,IF(LEFT(F115,1)="B",Parametros!$B$9,IF(LEFT(F115,1)="C",Parametros!$B$10,Parametros!$B$11)))</f>
        <v>0.9</v>
      </c>
      <c r="H115" s="27" t="n">
        <f aca="false">NORMSINV(G115)</f>
        <v>1.2815515655446</v>
      </c>
      <c r="I115" s="23" t="n">
        <v>0</v>
      </c>
      <c r="J115" s="23" t="n">
        <f aca="false">IFERROR(INDEX(ABC_XYZ!$R$5:$R$137,MATCH(A115,ABC_XYZ!$A$5:$A$137,0)),I115*Parametros!$B$13)</f>
        <v>0</v>
      </c>
      <c r="K115" s="27" t="n">
        <f aca="false">IFERROR(VLOOKUP(C115,Parametros!$A$36:$B$41,2,FALSE()),Parametros!$B$12)</f>
        <v>1</v>
      </c>
      <c r="L115" s="23" t="n">
        <f aca="false">H115*J115*SQRT(K115)</f>
        <v>0</v>
      </c>
      <c r="M115" s="29" t="n">
        <v>365</v>
      </c>
      <c r="N115" s="24" t="n">
        <v>0.32054794520548</v>
      </c>
      <c r="O115" s="3" t="s">
        <v>371</v>
      </c>
      <c r="P115" s="30" t="n">
        <f aca="false">IF(AND(ISNUMBER(M115),ISNUMBER(N115)),M115*N115/7,"")</f>
        <v>16.7142857142857</v>
      </c>
      <c r="Q115" s="23" t="n">
        <f aca="false">IF(ISNUMBER(P115),I115*P115,"")</f>
        <v>0</v>
      </c>
      <c r="R115" s="23" t="n">
        <f aca="false">IF(ISNUMBER(Q115),MAX(0,MIN(L115,Q115-I115*K115)),L115)</f>
        <v>0</v>
      </c>
      <c r="S115" s="23" t="n">
        <f aca="false">R115+I115*K115</f>
        <v>0</v>
      </c>
      <c r="T115" s="23" t="n">
        <v>120</v>
      </c>
      <c r="U115" s="23" t="n">
        <v>0</v>
      </c>
      <c r="V115" s="23" t="n">
        <f aca="false">T115+U115</f>
        <v>120</v>
      </c>
      <c r="W115" s="30" t="str">
        <f aca="false">IF(I115&gt;0,V115/I115,"")</f>
        <v/>
      </c>
      <c r="X115" s="3" t="str">
        <f aca="false">IF(I115&lt;=0,"SIN FCST",IF(V115&lt;R115,"BAJO SS",IF(T115&lt;R115,"BAJO SS (XLIB CUBRE)",IF(V115&lt;S115,"BAJO P.REORDEN",IF(AND(ISNUMBER(Q115),V115&gt;Q115),"SOBRE MAX VENDIBLE","OK")))))</f>
        <v>SIN FCST</v>
      </c>
    </row>
    <row r="116" customFormat="false" ht="15" hidden="false" customHeight="false" outlineLevel="0" collapsed="false">
      <c r="A116" s="3" t="n">
        <v>30000394</v>
      </c>
      <c r="B116" s="3" t="s">
        <v>434</v>
      </c>
      <c r="C116" s="3" t="s">
        <v>128</v>
      </c>
      <c r="D116" s="3" t="s">
        <v>362</v>
      </c>
      <c r="E116" s="3" t="s">
        <v>363</v>
      </c>
      <c r="F116" s="3" t="str">
        <f aca="false">IFERROR(INDEX(ABC_XYZ!$L$5:$L$137,MATCH(A116,ABC_XYZ!$A$5:$A$137,0)),"SIN HIST")</f>
        <v>CZ</v>
      </c>
      <c r="G116" s="24" t="n">
        <f aca="false">IF(LEFT(F116,1)="A",Parametros!$B$8,IF(LEFT(F116,1)="B",Parametros!$B$9,IF(LEFT(F116,1)="C",Parametros!$B$10,Parametros!$B$11)))</f>
        <v>0.9</v>
      </c>
      <c r="H116" s="27" t="n">
        <f aca="false">NORMSINV(G116)</f>
        <v>1.2815515655446</v>
      </c>
      <c r="I116" s="23" t="n">
        <v>0</v>
      </c>
      <c r="J116" s="23" t="n">
        <f aca="false">IFERROR(INDEX(ABC_XYZ!$R$5:$R$137,MATCH(A116,ABC_XYZ!$A$5:$A$137,0)),I116*Parametros!$B$13)</f>
        <v>0</v>
      </c>
      <c r="K116" s="27" t="n">
        <f aca="false">IFERROR(VLOOKUP(C116,Parametros!$A$36:$B$41,2,FALSE()),Parametros!$B$12)</f>
        <v>1</v>
      </c>
      <c r="L116" s="23" t="n">
        <f aca="false">H116*J116*SQRT(K116)</f>
        <v>0</v>
      </c>
      <c r="M116" s="29" t="n">
        <v>365</v>
      </c>
      <c r="N116" s="24" t="n">
        <v>0.32054794520548</v>
      </c>
      <c r="O116" s="3" t="s">
        <v>371</v>
      </c>
      <c r="P116" s="30" t="n">
        <f aca="false">IF(AND(ISNUMBER(M116),ISNUMBER(N116)),M116*N116/7,"")</f>
        <v>16.7142857142857</v>
      </c>
      <c r="Q116" s="23" t="n">
        <f aca="false">IF(ISNUMBER(P116),I116*P116,"")</f>
        <v>0</v>
      </c>
      <c r="R116" s="23" t="n">
        <f aca="false">IF(ISNUMBER(Q116),MAX(0,MIN(L116,Q116-I116*K116)),L116)</f>
        <v>0</v>
      </c>
      <c r="S116" s="23" t="n">
        <f aca="false">R116+I116*K116</f>
        <v>0</v>
      </c>
      <c r="T116" s="23" t="n">
        <v>320</v>
      </c>
      <c r="U116" s="23" t="n">
        <v>0</v>
      </c>
      <c r="V116" s="23" t="n">
        <f aca="false">T116+U116</f>
        <v>320</v>
      </c>
      <c r="W116" s="30" t="str">
        <f aca="false">IF(I116&gt;0,V116/I116,"")</f>
        <v/>
      </c>
      <c r="X116" s="3" t="str">
        <f aca="false">IF(I116&lt;=0,"SIN FCST",IF(V116&lt;R116,"BAJO SS",IF(T116&lt;R116,"BAJO SS (XLIB CUBRE)",IF(V116&lt;S116,"BAJO P.REORDEN",IF(AND(ISNUMBER(Q116),V116&gt;Q116),"SOBRE MAX VENDIBLE","OK")))))</f>
        <v>SIN FCST</v>
      </c>
    </row>
    <row r="117" customFormat="false" ht="15" hidden="false" customHeight="false" outlineLevel="0" collapsed="false">
      <c r="A117" s="3" t="n">
        <v>30001150</v>
      </c>
      <c r="B117" s="3" t="s">
        <v>435</v>
      </c>
      <c r="C117" s="3" t="s">
        <v>128</v>
      </c>
      <c r="D117" s="3" t="s">
        <v>362</v>
      </c>
      <c r="E117" s="3" t="s">
        <v>363</v>
      </c>
      <c r="F117" s="3" t="str">
        <f aca="false">IFERROR(INDEX(ABC_XYZ!$L$5:$L$137,MATCH(A117,ABC_XYZ!$A$5:$A$137,0)),"SIN HIST")</f>
        <v>CZ</v>
      </c>
      <c r="G117" s="24" t="n">
        <f aca="false">IF(LEFT(F117,1)="A",Parametros!$B$8,IF(LEFT(F117,1)="B",Parametros!$B$9,IF(LEFT(F117,1)="C",Parametros!$B$10,Parametros!$B$11)))</f>
        <v>0.9</v>
      </c>
      <c r="H117" s="27" t="n">
        <f aca="false">NORMSINV(G117)</f>
        <v>1.2815515655446</v>
      </c>
      <c r="I117" s="23" t="n">
        <v>0</v>
      </c>
      <c r="J117" s="23" t="n">
        <f aca="false">IFERROR(INDEX(ABC_XYZ!$R$5:$R$137,MATCH(A117,ABC_XYZ!$A$5:$A$137,0)),I117*Parametros!$B$13)</f>
        <v>0</v>
      </c>
      <c r="K117" s="27" t="n">
        <f aca="false">IFERROR(VLOOKUP(C117,Parametros!$A$36:$B$41,2,FALSE()),Parametros!$B$12)</f>
        <v>1</v>
      </c>
      <c r="L117" s="23" t="n">
        <f aca="false">H117*J117*SQRT(K117)</f>
        <v>0</v>
      </c>
      <c r="M117" s="29" t="n">
        <v>365</v>
      </c>
      <c r="N117" s="24" t="n">
        <v>0.194520547945206</v>
      </c>
      <c r="O117" s="3" t="s">
        <v>364</v>
      </c>
      <c r="P117" s="30" t="n">
        <f aca="false">IF(AND(ISNUMBER(M117),ISNUMBER(N117)),M117*N117/7,"")</f>
        <v>10.1428571428571</v>
      </c>
      <c r="Q117" s="23" t="n">
        <f aca="false">IF(ISNUMBER(P117),I117*P117,"")</f>
        <v>0</v>
      </c>
      <c r="R117" s="23" t="n">
        <f aca="false">IF(ISNUMBER(Q117),MAX(0,MIN(L117,Q117-I117*K117)),L117)</f>
        <v>0</v>
      </c>
      <c r="S117" s="23" t="n">
        <f aca="false">R117+I117*K117</f>
        <v>0</v>
      </c>
      <c r="T117" s="23" t="n">
        <v>9</v>
      </c>
      <c r="U117" s="23" t="n">
        <v>0</v>
      </c>
      <c r="V117" s="23" t="n">
        <f aca="false">T117+U117</f>
        <v>9</v>
      </c>
      <c r="W117" s="30" t="str">
        <f aca="false">IF(I117&gt;0,V117/I117,"")</f>
        <v/>
      </c>
      <c r="X117" s="3" t="str">
        <f aca="false">IF(I117&lt;=0,"SIN FCST",IF(V117&lt;R117,"BAJO SS",IF(T117&lt;R117,"BAJO SS (XLIB CUBRE)",IF(V117&lt;S117,"BAJO P.REORDEN",IF(AND(ISNUMBER(Q117),V117&gt;Q117),"SOBRE MAX VENDIBLE","OK")))))</f>
        <v>SIN FCST</v>
      </c>
    </row>
    <row r="118" customFormat="false" ht="15" hidden="false" customHeight="false" outlineLevel="0" collapsed="false">
      <c r="A118" s="3" t="n">
        <v>30002187</v>
      </c>
      <c r="B118" s="3" t="s">
        <v>301</v>
      </c>
      <c r="C118" s="3" t="s">
        <v>129</v>
      </c>
      <c r="D118" s="3" t="s">
        <v>370</v>
      </c>
      <c r="E118" s="3" t="s">
        <v>436</v>
      </c>
      <c r="F118" s="3" t="str">
        <f aca="false">IFERROR(INDEX(ABC_XYZ!$L$5:$L$137,MATCH(A118,ABC_XYZ!$A$5:$A$137,0)),"SIN HIST")</f>
        <v>CY</v>
      </c>
      <c r="G118" s="24" t="n">
        <f aca="false">IF(LEFT(F118,1)="A",Parametros!$B$8,IF(LEFT(F118,1)="B",Parametros!$B$9,IF(LEFT(F118,1)="C",Parametros!$B$10,Parametros!$B$11)))</f>
        <v>0.9</v>
      </c>
      <c r="H118" s="27" t="n">
        <f aca="false">NORMSINV(G118)</f>
        <v>1.2815515655446</v>
      </c>
      <c r="I118" s="23" t="n">
        <v>0</v>
      </c>
      <c r="J118" s="23" t="n">
        <f aca="false">IFERROR(INDEX(ABC_XYZ!$R$5:$R$137,MATCH(A118,ABC_XYZ!$A$5:$A$137,0)),I118*Parametros!$B$13)</f>
        <v>752.098528009019</v>
      </c>
      <c r="K118" s="27" t="n">
        <f aca="false">IFERROR(VLOOKUP(C118,Parametros!$A$36:$B$41,2,FALSE()),Parametros!$B$12)</f>
        <v>1</v>
      </c>
      <c r="L118" s="23" t="n">
        <f aca="false">H118*J118*SQRT(K118)</f>
        <v>963.853046013748</v>
      </c>
      <c r="M118" s="29" t="n">
        <v>245</v>
      </c>
      <c r="N118" s="24" t="n">
        <v>0.216326530612245</v>
      </c>
      <c r="O118" s="3" t="s">
        <v>371</v>
      </c>
      <c r="P118" s="30" t="n">
        <f aca="false">IF(AND(ISNUMBER(M118),ISNUMBER(N118)),M118*N118/7,"")</f>
        <v>7.57142857142857</v>
      </c>
      <c r="Q118" s="23" t="n">
        <f aca="false">IF(ISNUMBER(P118),I118*P118,"")</f>
        <v>0</v>
      </c>
      <c r="R118" s="23" t="n">
        <f aca="false">IF(ISNUMBER(Q118),MAX(0,MIN(L118,Q118-I118*K118)),L118)</f>
        <v>0</v>
      </c>
      <c r="S118" s="23" t="n">
        <f aca="false">R118+I118*K118</f>
        <v>0</v>
      </c>
      <c r="T118" s="23" t="n">
        <v>0</v>
      </c>
      <c r="U118" s="23" t="n">
        <v>0</v>
      </c>
      <c r="V118" s="23" t="n">
        <f aca="false">T118+U118</f>
        <v>0</v>
      </c>
      <c r="W118" s="30" t="str">
        <f aca="false">IF(I118&gt;0,V118/I118,"")</f>
        <v/>
      </c>
      <c r="X118" s="3" t="str">
        <f aca="false">IF(I118&lt;=0,"SIN FCST",IF(V118&lt;R118,"BAJO SS",IF(T118&lt;R118,"BAJO SS (XLIB CUBRE)",IF(V118&lt;S118,"BAJO P.REORDEN",IF(AND(ISNUMBER(Q118),V118&gt;Q118),"SOBRE MAX VENDIBLE","OK")))))</f>
        <v>SIN FCST</v>
      </c>
    </row>
  </sheetData>
  <autoFilter ref="A4:X118"/>
  <conditionalFormatting sqref="X5:X118">
    <cfRule type="expression" priority="2" aboveAverage="0" equalAverage="0" bottom="0" percent="0" rank="0" text="" dxfId="10">
      <formula>X5="BAJO SS"</formula>
    </cfRule>
    <cfRule type="expression" priority="3" aboveAverage="0" equalAverage="0" bottom="0" percent="0" rank="0" text="" dxfId="11">
      <formula>X5="BAJO SS (XLIB CUBRE)"</formula>
    </cfRule>
    <cfRule type="expression" priority="4" aboveAverage="0" equalAverage="0" bottom="0" percent="0" rank="0" text="" dxfId="12">
      <formula>X5="BAJO P.REORDEN"</formula>
    </cfRule>
    <cfRule type="expression" priority="5" aboveAverage="0" equalAverage="0" bottom="0" percent="0" rank="0" text="" dxfId="13">
      <formula>X5="SOBRE MAX VENDIBLE"</formula>
    </cfRule>
    <cfRule type="expression" priority="6" aboveAverage="0" equalAverage="0" bottom="0" percent="0" rank="0" text="" dxfId="14">
      <formula>X5="OK"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437</v>
      </c>
    </row>
    <row r="2" customFormat="false" ht="15" hidden="false" customHeight="false" outlineLevel="0" collapsed="false">
      <c r="A2" s="3" t="s">
        <v>438</v>
      </c>
    </row>
    <row r="4" customFormat="false" ht="42" hidden="false" customHeight="true" outlineLevel="0" collapsed="false">
      <c r="A4" s="14" t="s">
        <v>439</v>
      </c>
      <c r="B4" s="14" t="s">
        <v>440</v>
      </c>
      <c r="C4" s="14" t="s">
        <v>441</v>
      </c>
      <c r="D4" s="14" t="s">
        <v>442</v>
      </c>
      <c r="E4" s="14" t="s">
        <v>443</v>
      </c>
      <c r="F4" s="14" t="s">
        <v>444</v>
      </c>
      <c r="G4" s="14" t="s">
        <v>445</v>
      </c>
      <c r="H4" s="14" t="s">
        <v>446</v>
      </c>
    </row>
    <row r="5" customFormat="false" ht="15" hidden="false" customHeight="false" outlineLevel="0" collapsed="false">
      <c r="A5" s="2" t="s">
        <v>447</v>
      </c>
      <c r="B5" s="23" t="n">
        <f aca="false">SUMIFS($D$17:$D$652,$C$17:$C$652,A5)</f>
        <v>472395.08</v>
      </c>
      <c r="C5" s="23" t="n">
        <f aca="false">SUMIFS($E$17:$E$652,$C$17:$C$652,A5)</f>
        <v>527932.569007669</v>
      </c>
      <c r="D5" s="23" t="n">
        <f aca="false">B5-C5</f>
        <v>-55537.4890076687</v>
      </c>
      <c r="E5" s="24" t="n">
        <f aca="false">IF(C5&gt;0,B5/C5-1,"")</f>
        <v>-0.105198073140401</v>
      </c>
      <c r="F5" s="3" t="n">
        <f aca="false">RANK(B5,$B$5:$B$13)</f>
        <v>6</v>
      </c>
      <c r="G5" s="3" t="n">
        <f aca="false">SUMPRODUCT(--(ABS($E$5:$E$13)&gt;ABS(E5)))+1</f>
        <v>7</v>
      </c>
      <c r="H5" s="3" t="n">
        <f aca="false">COUNTIFS($C$17:$C$652,A5,$H$17:$H$652,"SOBRE FCST")+COUNTIFS($C$17:$C$652,A5,$H$17:$H$652,"BAJO FCST")+COUNTIFS($C$17:$C$652,A5,$H$17:$H$652,"PIDE SIN FCST")</f>
        <v>32</v>
      </c>
    </row>
    <row r="6" customFormat="false" ht="15" hidden="false" customHeight="false" outlineLevel="0" collapsed="false">
      <c r="A6" s="2" t="s">
        <v>448</v>
      </c>
      <c r="B6" s="23" t="n">
        <f aca="false">SUMIFS($D$17:$D$652,$C$17:$C$652,A6)</f>
        <v>1155745.85</v>
      </c>
      <c r="C6" s="23" t="n">
        <f aca="false">SUMIFS($E$17:$E$652,$C$17:$C$652,A6)</f>
        <v>1010564.70333333</v>
      </c>
      <c r="D6" s="23" t="n">
        <f aca="false">B6-C6</f>
        <v>145181.146666667</v>
      </c>
      <c r="E6" s="24" t="n">
        <f aca="false">IF(C6&gt;0,B6/C6-1,"")</f>
        <v>0.143663385617753</v>
      </c>
      <c r="F6" s="3" t="n">
        <f aca="false">RANK(B6,$B$5:$B$13)</f>
        <v>2</v>
      </c>
      <c r="G6" s="3" t="n">
        <f aca="false">SUMPRODUCT(--(ABS($E$5:$E$13)&gt;ABS(E6)))+1</f>
        <v>5</v>
      </c>
      <c r="H6" s="3" t="n">
        <f aca="false">COUNTIFS($C$17:$C$652,A6,$H$17:$H$652,"SOBRE FCST")+COUNTIFS($C$17:$C$652,A6,$H$17:$H$652,"BAJO FCST")+COUNTIFS($C$17:$C$652,A6,$H$17:$H$652,"PIDE SIN FCST")</f>
        <v>48</v>
      </c>
    </row>
    <row r="7" customFormat="false" ht="15" hidden="false" customHeight="false" outlineLevel="0" collapsed="false">
      <c r="A7" s="2" t="s">
        <v>449</v>
      </c>
      <c r="B7" s="23" t="n">
        <f aca="false">SUMIFS($D$17:$D$652,$C$17:$C$652,A7)</f>
        <v>390528</v>
      </c>
      <c r="C7" s="23" t="n">
        <f aca="false">SUMIFS($E$17:$E$652,$C$17:$C$652,A7)</f>
        <v>353400.8</v>
      </c>
      <c r="D7" s="23" t="n">
        <f aca="false">B7-C7</f>
        <v>37127.2</v>
      </c>
      <c r="E7" s="24" t="n">
        <f aca="false">IF(C7&gt;0,B7/C7-1,"")</f>
        <v>0.105056921206743</v>
      </c>
      <c r="F7" s="3" t="n">
        <f aca="false">RANK(B7,$B$5:$B$13)</f>
        <v>7</v>
      </c>
      <c r="G7" s="3" t="n">
        <f aca="false">SUMPRODUCT(--(ABS($E$5:$E$13)&gt;ABS(E7)))+1</f>
        <v>8</v>
      </c>
      <c r="H7" s="3" t="n">
        <f aca="false">COUNTIFS($C$17:$C$652,A7,$H$17:$H$652,"SOBRE FCST")+COUNTIFS($C$17:$C$652,A7,$H$17:$H$652,"BAJO FCST")+COUNTIFS($C$17:$C$652,A7,$H$17:$H$652,"PIDE SIN FCST")</f>
        <v>3</v>
      </c>
    </row>
    <row r="8" customFormat="false" ht="15" hidden="false" customHeight="false" outlineLevel="0" collapsed="false">
      <c r="A8" s="2" t="s">
        <v>450</v>
      </c>
      <c r="B8" s="23" t="n">
        <f aca="false">SUMIFS($D$17:$D$652,$C$17:$C$652,A8)</f>
        <v>1079696.8</v>
      </c>
      <c r="C8" s="23" t="n">
        <f aca="false">SUMIFS($E$17:$E$652,$C$17:$C$652,A8)</f>
        <v>1406033.91905301</v>
      </c>
      <c r="D8" s="23" t="n">
        <f aca="false">B8-C8</f>
        <v>-326337.119053014</v>
      </c>
      <c r="E8" s="24" t="n">
        <f aca="false">IF(C8&gt;0,B8/C8-1,"")</f>
        <v>-0.232097614880306</v>
      </c>
      <c r="F8" s="3" t="n">
        <f aca="false">RANK(B8,$B$5:$B$13)</f>
        <v>3</v>
      </c>
      <c r="G8" s="3" t="n">
        <f aca="false">SUMPRODUCT(--(ABS($E$5:$E$13)&gt;ABS(E8)))+1</f>
        <v>3</v>
      </c>
      <c r="H8" s="3" t="n">
        <f aca="false">COUNTIFS($C$17:$C$652,A8,$H$17:$H$652,"SOBRE FCST")+COUNTIFS($C$17:$C$652,A8,$H$17:$H$652,"BAJO FCST")+COUNTIFS($C$17:$C$652,A8,$H$17:$H$652,"PIDE SIN FCST")</f>
        <v>45</v>
      </c>
    </row>
    <row r="9" customFormat="false" ht="15" hidden="false" customHeight="false" outlineLevel="0" collapsed="false">
      <c r="A9" s="2" t="s">
        <v>451</v>
      </c>
      <c r="B9" s="23" t="n">
        <f aca="false">SUMIFS($D$17:$D$652,$C$17:$C$652,A9)</f>
        <v>535747.6</v>
      </c>
      <c r="C9" s="23" t="n">
        <f aca="false">SUMIFS($E$17:$E$652,$C$17:$C$652,A9)</f>
        <v>389478.9664</v>
      </c>
      <c r="D9" s="23" t="n">
        <f aca="false">B9-C9</f>
        <v>146268.6336</v>
      </c>
      <c r="E9" s="24" t="n">
        <f aca="false">IF(C9&gt;0,B9/C9-1,"")</f>
        <v>0.375549506439278</v>
      </c>
      <c r="F9" s="3" t="n">
        <f aca="false">RANK(B9,$B$5:$B$13)</f>
        <v>5</v>
      </c>
      <c r="G9" s="3" t="n">
        <f aca="false">SUMPRODUCT(--(ABS($E$5:$E$13)&gt;ABS(E9)))+1</f>
        <v>1</v>
      </c>
      <c r="H9" s="3" t="n">
        <f aca="false">COUNTIFS($C$17:$C$652,A9,$H$17:$H$652,"SOBRE FCST")+COUNTIFS($C$17:$C$652,A9,$H$17:$H$652,"BAJO FCST")+COUNTIFS($C$17:$C$652,A9,$H$17:$H$652,"PIDE SIN FCST")</f>
        <v>12</v>
      </c>
    </row>
    <row r="10" customFormat="false" ht="15" hidden="false" customHeight="false" outlineLevel="0" collapsed="false">
      <c r="A10" s="2" t="s">
        <v>452</v>
      </c>
      <c r="B10" s="23" t="n">
        <f aca="false">SUMIFS($D$17:$D$652,$C$17:$C$652,A10)</f>
        <v>281202.71</v>
      </c>
      <c r="C10" s="23" t="n">
        <f aca="false">SUMIFS($E$17:$E$652,$C$17:$C$652,A10)</f>
        <v>442146.029468331</v>
      </c>
      <c r="D10" s="23" t="n">
        <f aca="false">B10-C10</f>
        <v>-160943.319468331</v>
      </c>
      <c r="E10" s="24" t="n">
        <f aca="false">IF(C10&gt;0,B10/C10-1,"")</f>
        <v>-0.364004895988461</v>
      </c>
      <c r="F10" s="3" t="n">
        <f aca="false">RANK(B10,$B$5:$B$13)</f>
        <v>9</v>
      </c>
      <c r="G10" s="3" t="n">
        <f aca="false">SUMPRODUCT(--(ABS($E$5:$E$13)&gt;ABS(E10)))+1</f>
        <v>2</v>
      </c>
      <c r="H10" s="3" t="n">
        <f aca="false">COUNTIFS($C$17:$C$652,A10,$H$17:$H$652,"SOBRE FCST")+COUNTIFS($C$17:$C$652,A10,$H$17:$H$652,"BAJO FCST")+COUNTIFS($C$17:$C$652,A10,$H$17:$H$652,"PIDE SIN FCST")</f>
        <v>30</v>
      </c>
    </row>
    <row r="11" customFormat="false" ht="15" hidden="false" customHeight="false" outlineLevel="0" collapsed="false">
      <c r="A11" s="2" t="s">
        <v>453</v>
      </c>
      <c r="B11" s="23" t="n">
        <f aca="false">SUMIFS($D$17:$D$652,$C$17:$C$652,A11)</f>
        <v>388210.58</v>
      </c>
      <c r="C11" s="23" t="n">
        <f aca="false">SUMIFS($E$17:$E$652,$C$17:$C$652,A11)</f>
        <v>325275.981396929</v>
      </c>
      <c r="D11" s="23" t="n">
        <f aca="false">B11-C11</f>
        <v>62934.5986030714</v>
      </c>
      <c r="E11" s="24" t="n">
        <f aca="false">IF(C11&gt;0,B11/C11-1,"")</f>
        <v>0.193480620157667</v>
      </c>
      <c r="F11" s="3" t="n">
        <f aca="false">RANK(B11,$B$5:$B$13)</f>
        <v>8</v>
      </c>
      <c r="G11" s="3" t="n">
        <f aca="false">SUMPRODUCT(--(ABS($E$5:$E$13)&gt;ABS(E11)))+1</f>
        <v>4</v>
      </c>
      <c r="H11" s="3" t="n">
        <f aca="false">COUNTIFS($C$17:$C$652,A11,$H$17:$H$652,"SOBRE FCST")+COUNTIFS($C$17:$C$652,A11,$H$17:$H$652,"BAJO FCST")+COUNTIFS($C$17:$C$652,A11,$H$17:$H$652,"PIDE SIN FCST")</f>
        <v>50</v>
      </c>
    </row>
    <row r="12" customFormat="false" ht="15" hidden="false" customHeight="false" outlineLevel="0" collapsed="false">
      <c r="A12" s="2" t="s">
        <v>454</v>
      </c>
      <c r="B12" s="23" t="n">
        <f aca="false">SUMIFS($D$17:$D$652,$C$17:$C$652,A12)</f>
        <v>931006.52</v>
      </c>
      <c r="C12" s="23" t="n">
        <f aca="false">SUMIFS($E$17:$E$652,$C$17:$C$652,A12)</f>
        <v>933996.178028893</v>
      </c>
      <c r="D12" s="23" t="n">
        <f aca="false">B12-C12</f>
        <v>-2989.65802889317</v>
      </c>
      <c r="E12" s="24" t="n">
        <f aca="false">IF(C12&gt;0,B12/C12-1,"")</f>
        <v>-0.00320093175884573</v>
      </c>
      <c r="F12" s="3" t="n">
        <f aca="false">RANK(B12,$B$5:$B$13)</f>
        <v>4</v>
      </c>
      <c r="G12" s="3" t="n">
        <f aca="false">SUMPRODUCT(--(ABS($E$5:$E$13)&gt;ABS(E12)))+1</f>
        <v>9</v>
      </c>
      <c r="H12" s="3" t="n">
        <f aca="false">COUNTIFS($C$17:$C$652,A12,$H$17:$H$652,"SOBRE FCST")+COUNTIFS($C$17:$C$652,A12,$H$17:$H$652,"BAJO FCST")+COUNTIFS($C$17:$C$652,A12,$H$17:$H$652,"PIDE SIN FCST")</f>
        <v>37</v>
      </c>
    </row>
    <row r="13" customFormat="false" ht="15" hidden="false" customHeight="false" outlineLevel="0" collapsed="false">
      <c r="A13" s="2" t="s">
        <v>455</v>
      </c>
      <c r="B13" s="23" t="n">
        <f aca="false">SUMIFS($D$17:$D$652,$C$17:$C$652,A13)</f>
        <v>2179332.21</v>
      </c>
      <c r="C13" s="23" t="n">
        <f aca="false">SUMIFS($E$17:$E$652,$C$17:$C$652,A13)</f>
        <v>1925964.54124902</v>
      </c>
      <c r="D13" s="23" t="n">
        <f aca="false">B13-C13</f>
        <v>253367.66875098</v>
      </c>
      <c r="E13" s="24" t="n">
        <f aca="false">IF(C13&gt;0,B13/C13-1,"")</f>
        <v>0.13155365185834</v>
      </c>
      <c r="F13" s="3" t="n">
        <f aca="false">RANK(B13,$B$5:$B$13)</f>
        <v>1</v>
      </c>
      <c r="G13" s="3" t="n">
        <f aca="false">SUMPRODUCT(--(ABS($E$5:$E$13)&gt;ABS(E13)))+1</f>
        <v>6</v>
      </c>
      <c r="H13" s="3" t="n">
        <f aca="false">COUNTIFS($C$17:$C$652,A13,$H$17:$H$652,"SOBRE FCST")+COUNTIFS($C$17:$C$652,A13,$H$17:$H$652,"BAJO FCST")+COUNTIFS($C$17:$C$652,A13,$H$17:$H$652,"PIDE SIN FCST")</f>
        <v>45</v>
      </c>
    </row>
    <row r="14" customFormat="false" ht="15" hidden="false" customHeight="false" outlineLevel="0" collapsed="false">
      <c r="A14" s="2" t="s">
        <v>456</v>
      </c>
      <c r="B14" s="25" t="n">
        <f aca="false">SUM(B5:B13)</f>
        <v>7413865.35</v>
      </c>
      <c r="C14" s="25" t="n">
        <f aca="false">SUM(C5:C13)</f>
        <v>7314793.68793719</v>
      </c>
      <c r="D14" s="25" t="n">
        <f aca="false">SUM(D5:D13)</f>
        <v>99071.6620628119</v>
      </c>
      <c r="E14" s="31" t="n">
        <f aca="false">IF(C14&gt;0,B14/C14-1,"")</f>
        <v>0.0135440131724003</v>
      </c>
    </row>
    <row r="16" customFormat="false" ht="42" hidden="false" customHeight="true" outlineLevel="0" collapsed="false">
      <c r="A16" s="14" t="s">
        <v>133</v>
      </c>
      <c r="B16" s="14" t="s">
        <v>134</v>
      </c>
      <c r="C16" s="14" t="s">
        <v>439</v>
      </c>
      <c r="D16" s="14" t="s">
        <v>149</v>
      </c>
      <c r="E16" s="14" t="s">
        <v>150</v>
      </c>
      <c r="F16" s="14" t="s">
        <v>442</v>
      </c>
      <c r="G16" s="14" t="s">
        <v>443</v>
      </c>
      <c r="H16" s="14" t="s">
        <v>457</v>
      </c>
    </row>
    <row r="17" customFormat="false" ht="15" hidden="false" customHeight="false" outlineLevel="0" collapsed="false">
      <c r="A17" s="3" t="n">
        <v>30000524</v>
      </c>
      <c r="B17" s="3" t="s">
        <v>192</v>
      </c>
      <c r="C17" s="3" t="s">
        <v>448</v>
      </c>
      <c r="D17" s="23" t="n">
        <v>300900</v>
      </c>
      <c r="E17" s="23" t="n">
        <v>18594.6666666667</v>
      </c>
      <c r="F17" s="23" t="n">
        <f aca="false">D17-E17</f>
        <v>282305.333333333</v>
      </c>
      <c r="G17" s="24" t="n">
        <f aca="false">IF(E17&gt;0,D17/E17-1,"")</f>
        <v>15.1820593718629</v>
      </c>
      <c r="H17" s="3" t="str">
        <f aca="false">IF(MAX(D17,E17)&lt;Parametros!$B$16,"",IF(E17=0,"PIDE SIN FCST",IF(ABS(G17)&gt;Parametros!$B$14,IF(G17&gt;0,"SOBRE FCST","BAJO FCST"),"")))</f>
        <v>SOBRE FCST</v>
      </c>
    </row>
    <row r="18" customFormat="false" ht="15" hidden="false" customHeight="false" outlineLevel="0" collapsed="false">
      <c r="A18" s="3" t="n">
        <v>30000522</v>
      </c>
      <c r="B18" s="3" t="s">
        <v>186</v>
      </c>
      <c r="C18" s="3" t="s">
        <v>454</v>
      </c>
      <c r="D18" s="23" t="n">
        <v>625464</v>
      </c>
      <c r="E18" s="23" t="n">
        <v>508000</v>
      </c>
      <c r="F18" s="23" t="n">
        <f aca="false">D18-E18</f>
        <v>117464</v>
      </c>
      <c r="G18" s="24" t="n">
        <f aca="false">IF(E18&gt;0,D18/E18-1,"")</f>
        <v>0.231228346456693</v>
      </c>
      <c r="H18" s="3" t="str">
        <f aca="false">IF(MAX(D18,E18)&lt;Parametros!$B$16,"",IF(E18=0,"PIDE SIN FCST",IF(ABS(G18)&gt;Parametros!$B$14,IF(G18&gt;0,"SOBRE FCST","BAJO FCST"),"")))</f>
        <v>SOBRE FCST</v>
      </c>
    </row>
    <row r="19" customFormat="false" ht="15" hidden="false" customHeight="false" outlineLevel="0" collapsed="false">
      <c r="A19" s="3" t="n">
        <v>30000522</v>
      </c>
      <c r="B19" s="3" t="s">
        <v>186</v>
      </c>
      <c r="C19" s="3" t="s">
        <v>450</v>
      </c>
      <c r="D19" s="23" t="n">
        <v>30648</v>
      </c>
      <c r="E19" s="23" t="n">
        <v>130000</v>
      </c>
      <c r="F19" s="23" t="n">
        <f aca="false">D19-E19</f>
        <v>-99352</v>
      </c>
      <c r="G19" s="24" t="n">
        <f aca="false">IF(E19&gt;0,D19/E19-1,"")</f>
        <v>-0.764246153846154</v>
      </c>
      <c r="H19" s="3" t="str">
        <f aca="false">IF(MAX(D19,E19)&lt;Parametros!$B$16,"",IF(E19=0,"PIDE SIN FCST",IF(ABS(G19)&gt;Parametros!$B$14,IF(G19&gt;0,"SOBRE FCST","BAJO FCST"),"")))</f>
        <v>BAJO FCST</v>
      </c>
    </row>
    <row r="20" customFormat="false" ht="15" hidden="false" customHeight="false" outlineLevel="0" collapsed="false">
      <c r="A20" s="3" t="n">
        <v>30000522</v>
      </c>
      <c r="B20" s="3" t="s">
        <v>186</v>
      </c>
      <c r="C20" s="3" t="s">
        <v>452</v>
      </c>
      <c r="D20" s="23" t="n">
        <v>72612</v>
      </c>
      <c r="E20" s="23" t="n">
        <v>171733.178337982</v>
      </c>
      <c r="F20" s="23" t="n">
        <f aca="false">D20-E20</f>
        <v>-99121.1783379822</v>
      </c>
      <c r="G20" s="24" t="n">
        <f aca="false">IF(E20&gt;0,D20/E20-1,"")</f>
        <v>-0.577181295409937</v>
      </c>
      <c r="H20" s="3" t="str">
        <f aca="false">IF(MAX(D20,E20)&lt;Parametros!$B$16,"",IF(E20=0,"PIDE SIN FCST",IF(ABS(G20)&gt;Parametros!$B$14,IF(G20&gt;0,"SOBRE FCST","BAJO FCST"),"")))</f>
        <v>BAJO FCST</v>
      </c>
    </row>
    <row r="21" customFormat="false" ht="15" hidden="false" customHeight="false" outlineLevel="0" collapsed="false">
      <c r="A21" s="3" t="n">
        <v>30000523</v>
      </c>
      <c r="B21" s="3" t="s">
        <v>194</v>
      </c>
      <c r="C21" s="3" t="s">
        <v>454</v>
      </c>
      <c r="D21" s="23" t="n">
        <v>0</v>
      </c>
      <c r="E21" s="23" t="n">
        <v>70000</v>
      </c>
      <c r="F21" s="23" t="n">
        <f aca="false">D21-E21</f>
        <v>-70000</v>
      </c>
      <c r="G21" s="24" t="n">
        <f aca="false">IF(E21&gt;0,D21/E21-1,"")</f>
        <v>-1</v>
      </c>
      <c r="H21" s="3" t="str">
        <f aca="false">IF(MAX(D21,E21)&lt;Parametros!$B$16,"",IF(E21=0,"PIDE SIN FCST",IF(ABS(G21)&gt;Parametros!$B$14,IF(G21&gt;0,"SOBRE FCST","BAJO FCST"),"")))</f>
        <v>BAJO FCST</v>
      </c>
    </row>
    <row r="22" customFormat="false" ht="15" hidden="false" customHeight="false" outlineLevel="0" collapsed="false">
      <c r="A22" s="3" t="n">
        <v>30000258</v>
      </c>
      <c r="B22" s="3" t="s">
        <v>196</v>
      </c>
      <c r="C22" s="3" t="s">
        <v>449</v>
      </c>
      <c r="D22" s="23" t="n">
        <v>35424</v>
      </c>
      <c r="E22" s="23" t="n">
        <v>104867.2</v>
      </c>
      <c r="F22" s="23" t="n">
        <f aca="false">D22-E22</f>
        <v>-69443.2</v>
      </c>
      <c r="G22" s="24" t="n">
        <f aca="false">IF(E22&gt;0,D22/E22-1,"")</f>
        <v>-0.662201336547557</v>
      </c>
      <c r="H22" s="3" t="str">
        <f aca="false">IF(MAX(D22,E22)&lt;Parametros!$B$16,"",IF(E22=0,"PIDE SIN FCST",IF(ABS(G22)&gt;Parametros!$B$14,IF(G22&gt;0,"SOBRE FCST","BAJO FCST"),"")))</f>
        <v>BAJO FCST</v>
      </c>
    </row>
    <row r="23" customFormat="false" ht="15" hidden="false" customHeight="false" outlineLevel="0" collapsed="false">
      <c r="A23" s="3" t="n">
        <v>30000523</v>
      </c>
      <c r="B23" s="3" t="s">
        <v>194</v>
      </c>
      <c r="C23" s="3" t="s">
        <v>450</v>
      </c>
      <c r="D23" s="23" t="n">
        <v>13260</v>
      </c>
      <c r="E23" s="23" t="n">
        <v>81700</v>
      </c>
      <c r="F23" s="23" t="n">
        <f aca="false">D23-E23</f>
        <v>-68440</v>
      </c>
      <c r="G23" s="24" t="n">
        <f aca="false">IF(E23&gt;0,D23/E23-1,"")</f>
        <v>-0.837698898408813</v>
      </c>
      <c r="H23" s="3" t="str">
        <f aca="false">IF(MAX(D23,E23)&lt;Parametros!$B$16,"",IF(E23=0,"PIDE SIN FCST",IF(ABS(G23)&gt;Parametros!$B$14,IF(G23&gt;0,"SOBRE FCST","BAJO FCST"),"")))</f>
        <v>BAJO FCST</v>
      </c>
    </row>
    <row r="24" customFormat="false" ht="15" hidden="false" customHeight="false" outlineLevel="0" collapsed="false">
      <c r="A24" s="3" t="n">
        <v>30002066</v>
      </c>
      <c r="B24" s="3" t="s">
        <v>203</v>
      </c>
      <c r="C24" s="3" t="s">
        <v>451</v>
      </c>
      <c r="D24" s="23" t="n">
        <v>94740</v>
      </c>
      <c r="E24" s="23" t="n">
        <v>30600</v>
      </c>
      <c r="F24" s="23" t="n">
        <f aca="false">D24-E24</f>
        <v>64140</v>
      </c>
      <c r="G24" s="24" t="n">
        <f aca="false">IF(E24&gt;0,D24/E24-1,"")</f>
        <v>2.09607843137255</v>
      </c>
      <c r="H24" s="3" t="str">
        <f aca="false">IF(MAX(D24,E24)&lt;Parametros!$B$16,"",IF(E24=0,"PIDE SIN FCST",IF(ABS(G24)&gt;Parametros!$B$14,IF(G24&gt;0,"SOBRE FCST","BAJO FCST"),"")))</f>
        <v>SOBRE FCST</v>
      </c>
    </row>
    <row r="25" customFormat="false" ht="15" hidden="false" customHeight="false" outlineLevel="0" collapsed="false">
      <c r="A25" s="3" t="n">
        <v>30000524</v>
      </c>
      <c r="B25" s="3" t="s">
        <v>192</v>
      </c>
      <c r="C25" s="3" t="s">
        <v>450</v>
      </c>
      <c r="D25" s="23" t="n">
        <v>17760</v>
      </c>
      <c r="E25" s="23" t="n">
        <v>80300</v>
      </c>
      <c r="F25" s="23" t="n">
        <f aca="false">D25-E25</f>
        <v>-62540</v>
      </c>
      <c r="G25" s="24" t="n">
        <f aca="false">IF(E25&gt;0,D25/E25-1,"")</f>
        <v>-0.778829389788294</v>
      </c>
      <c r="H25" s="3" t="str">
        <f aca="false">IF(MAX(D25,E25)&lt;Parametros!$B$16,"",IF(E25=0,"PIDE SIN FCST",IF(ABS(G25)&gt;Parametros!$B$14,IF(G25&gt;0,"SOBRE FCST","BAJO FCST"),"")))</f>
        <v>BAJO FCST</v>
      </c>
    </row>
    <row r="26" customFormat="false" ht="15" hidden="false" customHeight="false" outlineLevel="0" collapsed="false">
      <c r="A26" s="3" t="n">
        <v>30000256</v>
      </c>
      <c r="B26" s="3" t="s">
        <v>195</v>
      </c>
      <c r="C26" s="3" t="s">
        <v>449</v>
      </c>
      <c r="D26" s="23" t="n">
        <v>109728</v>
      </c>
      <c r="E26" s="23" t="n">
        <v>57422.4</v>
      </c>
      <c r="F26" s="23" t="n">
        <f aca="false">D26-E26</f>
        <v>52305.6</v>
      </c>
      <c r="G26" s="24" t="n">
        <f aca="false">IF(E26&gt;0,D26/E26-1,"")</f>
        <v>0.910891916743292</v>
      </c>
      <c r="H26" s="3" t="str">
        <f aca="false">IF(MAX(D26,E26)&lt;Parametros!$B$16,"",IF(E26=0,"PIDE SIN FCST",IF(ABS(G26)&gt;Parametros!$B$14,IF(G26&gt;0,"SOBRE FCST","BAJO FCST"),"")))</f>
        <v>SOBRE FCST</v>
      </c>
    </row>
    <row r="27" customFormat="false" ht="15" hidden="false" customHeight="false" outlineLevel="0" collapsed="false">
      <c r="A27" s="3" t="n">
        <v>30000255</v>
      </c>
      <c r="B27" s="3" t="s">
        <v>193</v>
      </c>
      <c r="C27" s="3" t="s">
        <v>449</v>
      </c>
      <c r="D27" s="23" t="n">
        <v>120960</v>
      </c>
      <c r="E27" s="23" t="n">
        <v>71966.4</v>
      </c>
      <c r="F27" s="23" t="n">
        <f aca="false">D27-E27</f>
        <v>48993.6</v>
      </c>
      <c r="G27" s="24" t="n">
        <f aca="false">IF(E27&gt;0,D27/E27-1,"")</f>
        <v>0.680784366037484</v>
      </c>
      <c r="H27" s="3" t="str">
        <f aca="false">IF(MAX(D27,E27)&lt;Parametros!$B$16,"",IF(E27=0,"PIDE SIN FCST",IF(ABS(G27)&gt;Parametros!$B$14,IF(G27&gt;0,"SOBRE FCST","BAJO FCST"),"")))</f>
        <v>SOBRE FCST</v>
      </c>
    </row>
    <row r="28" customFormat="false" ht="15" hidden="false" customHeight="false" outlineLevel="0" collapsed="false">
      <c r="A28" s="3" t="n">
        <v>30000523</v>
      </c>
      <c r="B28" s="3" t="s">
        <v>194</v>
      </c>
      <c r="C28" s="3" t="s">
        <v>448</v>
      </c>
      <c r="D28" s="23" t="n">
        <v>31224</v>
      </c>
      <c r="E28" s="23" t="n">
        <v>77100</v>
      </c>
      <c r="F28" s="23" t="n">
        <f aca="false">D28-E28</f>
        <v>-45876</v>
      </c>
      <c r="G28" s="24" t="n">
        <f aca="false">IF(E28&gt;0,D28/E28-1,"")</f>
        <v>-0.595019455252918</v>
      </c>
      <c r="H28" s="3" t="str">
        <f aca="false">IF(MAX(D28,E28)&lt;Parametros!$B$16,"",IF(E28=0,"PIDE SIN FCST",IF(ABS(G28)&gt;Parametros!$B$14,IF(G28&gt;0,"SOBRE FCST","BAJO FCST"),"")))</f>
        <v>BAJO FCST</v>
      </c>
    </row>
    <row r="29" customFormat="false" ht="15" hidden="false" customHeight="false" outlineLevel="0" collapsed="false">
      <c r="A29" s="3" t="n">
        <v>30000522</v>
      </c>
      <c r="B29" s="3" t="s">
        <v>186</v>
      </c>
      <c r="C29" s="3" t="s">
        <v>447</v>
      </c>
      <c r="D29" s="23" t="n">
        <v>185472</v>
      </c>
      <c r="E29" s="23" t="n">
        <v>140244.633162328</v>
      </c>
      <c r="F29" s="23" t="n">
        <f aca="false">D29-E29</f>
        <v>45227.3668376716</v>
      </c>
      <c r="G29" s="24" t="n">
        <f aca="false">IF(E29&gt;0,D29/E29-1,"")</f>
        <v>0.322489109335988</v>
      </c>
      <c r="H29" s="3" t="str">
        <f aca="false">IF(MAX(D29,E29)&lt;Parametros!$B$16,"",IF(E29=0,"PIDE SIN FCST",IF(ABS(G29)&gt;Parametros!$B$14,IF(G29&gt;0,"SOBRE FCST","BAJO FCST"),"")))</f>
        <v>SOBRE FCST</v>
      </c>
    </row>
    <row r="30" customFormat="false" ht="15" hidden="false" customHeight="false" outlineLevel="0" collapsed="false">
      <c r="A30" s="3" t="n">
        <v>30000353</v>
      </c>
      <c r="B30" s="3" t="s">
        <v>191</v>
      </c>
      <c r="C30" s="3" t="s">
        <v>455</v>
      </c>
      <c r="D30" s="23" t="n">
        <v>208080</v>
      </c>
      <c r="E30" s="23" t="n">
        <v>163730</v>
      </c>
      <c r="F30" s="23" t="n">
        <f aca="false">D30-E30</f>
        <v>44350</v>
      </c>
      <c r="G30" s="24" t="n">
        <f aca="false">IF(E30&gt;0,D30/E30-1,"")</f>
        <v>0.270872778354608</v>
      </c>
      <c r="H30" s="3" t="str">
        <f aca="false">IF(MAX(D30,E30)&lt;Parametros!$B$16,"",IF(E30=0,"PIDE SIN FCST",IF(ABS(G30)&gt;Parametros!$B$14,IF(G30&gt;0,"SOBRE FCST","BAJO FCST"),"")))</f>
        <v>SOBRE FCST</v>
      </c>
    </row>
    <row r="31" customFormat="false" ht="15" hidden="false" customHeight="false" outlineLevel="0" collapsed="false">
      <c r="A31" s="3" t="n">
        <v>30000326</v>
      </c>
      <c r="B31" s="3" t="s">
        <v>190</v>
      </c>
      <c r="C31" s="3" t="s">
        <v>450</v>
      </c>
      <c r="D31" s="23" t="n">
        <v>150852</v>
      </c>
      <c r="E31" s="23" t="n">
        <v>192000</v>
      </c>
      <c r="F31" s="23" t="n">
        <f aca="false">D31-E31</f>
        <v>-41148</v>
      </c>
      <c r="G31" s="24" t="n">
        <f aca="false">IF(E31&gt;0,D31/E31-1,"")</f>
        <v>-0.2143125</v>
      </c>
      <c r="H31" s="3" t="str">
        <f aca="false">IF(MAX(D31,E31)&lt;Parametros!$B$16,"",IF(E31=0,"PIDE SIN FCST",IF(ABS(G31)&gt;Parametros!$B$14,IF(G31&gt;0,"SOBRE FCST","BAJO FCST"),"")))</f>
        <v>BAJO FCST</v>
      </c>
    </row>
    <row r="32" customFormat="false" ht="15" hidden="false" customHeight="false" outlineLevel="0" collapsed="false">
      <c r="A32" s="3" t="n">
        <v>30000325</v>
      </c>
      <c r="B32" s="3" t="s">
        <v>189</v>
      </c>
      <c r="C32" s="3" t="s">
        <v>450</v>
      </c>
      <c r="D32" s="23" t="n">
        <v>136428</v>
      </c>
      <c r="E32" s="23" t="n">
        <v>166000</v>
      </c>
      <c r="F32" s="23" t="n">
        <f aca="false">D32-E32</f>
        <v>-29572</v>
      </c>
      <c r="G32" s="24" t="n">
        <f aca="false">IF(E32&gt;0,D32/E32-1,"")</f>
        <v>-0.178144578313253</v>
      </c>
      <c r="H32" s="3" t="str">
        <f aca="false">IF(MAX(D32,E32)&lt;Parametros!$B$16,"",IF(E32=0,"PIDE SIN FCST",IF(ABS(G32)&gt;Parametros!$B$14,IF(G32&gt;0,"SOBRE FCST","BAJO FCST"),"")))</f>
        <v/>
      </c>
    </row>
    <row r="33" customFormat="false" ht="15" hidden="false" customHeight="false" outlineLevel="0" collapsed="false">
      <c r="A33" s="3" t="n">
        <v>30000522</v>
      </c>
      <c r="B33" s="3" t="s">
        <v>186</v>
      </c>
      <c r="C33" s="3" t="s">
        <v>448</v>
      </c>
      <c r="D33" s="23" t="n">
        <v>238548</v>
      </c>
      <c r="E33" s="23" t="n">
        <v>209091.5</v>
      </c>
      <c r="F33" s="23" t="n">
        <f aca="false">D33-E33</f>
        <v>29456.5</v>
      </c>
      <c r="G33" s="24" t="n">
        <f aca="false">IF(E33&gt;0,D33/E33-1,"")</f>
        <v>0.140878514908545</v>
      </c>
      <c r="H33" s="3" t="str">
        <f aca="false">IF(MAX(D33,E33)&lt;Parametros!$B$16,"",IF(E33=0,"PIDE SIN FCST",IF(ABS(G33)&gt;Parametros!$B$14,IF(G33&gt;0,"SOBRE FCST","BAJO FCST"),"")))</f>
        <v/>
      </c>
    </row>
    <row r="34" customFormat="false" ht="15" hidden="false" customHeight="false" outlineLevel="0" collapsed="false">
      <c r="A34" s="3" t="n">
        <v>30000326</v>
      </c>
      <c r="B34" s="3" t="s">
        <v>190</v>
      </c>
      <c r="C34" s="3" t="s">
        <v>455</v>
      </c>
      <c r="D34" s="23" t="n">
        <v>265200</v>
      </c>
      <c r="E34" s="23" t="n">
        <v>237390</v>
      </c>
      <c r="F34" s="23" t="n">
        <f aca="false">D34-E34</f>
        <v>27810</v>
      </c>
      <c r="G34" s="24" t="n">
        <f aca="false">IF(E34&gt;0,D34/E34-1,"")</f>
        <v>0.11714899532415</v>
      </c>
      <c r="H34" s="3" t="str">
        <f aca="false">IF(MAX(D34,E34)&lt;Parametros!$B$16,"",IF(E34=0,"PIDE SIN FCST",IF(ABS(G34)&gt;Parametros!$B$14,IF(G34&gt;0,"SOBRE FCST","BAJO FCST"),"")))</f>
        <v/>
      </c>
    </row>
    <row r="35" customFormat="false" ht="15" hidden="false" customHeight="false" outlineLevel="0" collapsed="false">
      <c r="A35" s="3" t="n">
        <v>30000522</v>
      </c>
      <c r="B35" s="3" t="s">
        <v>186</v>
      </c>
      <c r="C35" s="3" t="s">
        <v>453</v>
      </c>
      <c r="D35" s="23" t="n">
        <v>68916</v>
      </c>
      <c r="E35" s="23" t="n">
        <v>41842.8</v>
      </c>
      <c r="F35" s="23" t="n">
        <f aca="false">D35-E35</f>
        <v>27073.2</v>
      </c>
      <c r="G35" s="24" t="n">
        <f aca="false">IF(E35&gt;0,D35/E35-1,"")</f>
        <v>0.647021709828214</v>
      </c>
      <c r="H35" s="3" t="str">
        <f aca="false">IF(MAX(D35,E35)&lt;Parametros!$B$16,"",IF(E35=0,"PIDE SIN FCST",IF(ABS(G35)&gt;Parametros!$B$14,IF(G35&gt;0,"SOBRE FCST","BAJO FCST"),"")))</f>
        <v>SOBRE FCST</v>
      </c>
    </row>
    <row r="36" customFormat="false" ht="15" hidden="false" customHeight="false" outlineLevel="0" collapsed="false">
      <c r="A36" s="3" t="n">
        <v>30000522</v>
      </c>
      <c r="B36" s="3" t="s">
        <v>186</v>
      </c>
      <c r="C36" s="3" t="s">
        <v>455</v>
      </c>
      <c r="D36" s="23" t="n">
        <v>215712</v>
      </c>
      <c r="E36" s="23" t="n">
        <v>189364</v>
      </c>
      <c r="F36" s="23" t="n">
        <f aca="false">D36-E36</f>
        <v>26348</v>
      </c>
      <c r="G36" s="24" t="n">
        <f aca="false">IF(E36&gt;0,D36/E36-1,"")</f>
        <v>0.13913943516191</v>
      </c>
      <c r="H36" s="3" t="str">
        <f aca="false">IF(MAX(D36,E36)&lt;Parametros!$B$16,"",IF(E36=0,"PIDE SIN FCST",IF(ABS(G36)&gt;Parametros!$B$14,IF(G36&gt;0,"SOBRE FCST","BAJO FCST"),"")))</f>
        <v/>
      </c>
    </row>
    <row r="37" customFormat="false" ht="15" hidden="false" customHeight="false" outlineLevel="0" collapsed="false">
      <c r="A37" s="3" t="n">
        <v>30000524</v>
      </c>
      <c r="B37" s="3" t="s">
        <v>192</v>
      </c>
      <c r="C37" s="3" t="s">
        <v>454</v>
      </c>
      <c r="D37" s="23" t="n">
        <v>5880</v>
      </c>
      <c r="E37" s="23" t="n">
        <v>30000</v>
      </c>
      <c r="F37" s="23" t="n">
        <f aca="false">D37-E37</f>
        <v>-24120</v>
      </c>
      <c r="G37" s="24" t="n">
        <f aca="false">IF(E37&gt;0,D37/E37-1,"")</f>
        <v>-0.804</v>
      </c>
      <c r="H37" s="3" t="str">
        <f aca="false">IF(MAX(D37,E37)&lt;Parametros!$B$16,"",IF(E37=0,"PIDE SIN FCST",IF(ABS(G37)&gt;Parametros!$B$14,IF(G37&gt;0,"SOBRE FCST","BAJO FCST"),"")))</f>
        <v>BAJO FCST</v>
      </c>
    </row>
    <row r="38" customFormat="false" ht="15" hidden="false" customHeight="false" outlineLevel="0" collapsed="false">
      <c r="A38" s="3" t="n">
        <v>30000523</v>
      </c>
      <c r="B38" s="3" t="s">
        <v>194</v>
      </c>
      <c r="C38" s="3" t="s">
        <v>452</v>
      </c>
      <c r="D38" s="23" t="n">
        <v>16956</v>
      </c>
      <c r="E38" s="23" t="n">
        <v>38761.222005323</v>
      </c>
      <c r="F38" s="23" t="n">
        <f aca="false">D38-E38</f>
        <v>-21805.222005323</v>
      </c>
      <c r="G38" s="24" t="n">
        <f aca="false">IF(E38&gt;0,D38/E38-1,"")</f>
        <v>-0.562552491310221</v>
      </c>
      <c r="H38" s="3" t="str">
        <f aca="false">IF(MAX(D38,E38)&lt;Parametros!$B$16,"",IF(E38=0,"PIDE SIN FCST",IF(ABS(G38)&gt;Parametros!$B$14,IF(G38&gt;0,"SOBRE FCST","BAJO FCST"),"")))</f>
        <v>BAJO FCST</v>
      </c>
    </row>
    <row r="39" customFormat="false" ht="15" hidden="false" customHeight="false" outlineLevel="0" collapsed="false">
      <c r="A39" s="3" t="n">
        <v>30000256</v>
      </c>
      <c r="B39" s="3" t="s">
        <v>195</v>
      </c>
      <c r="C39" s="3" t="s">
        <v>447</v>
      </c>
      <c r="D39" s="23" t="n">
        <v>21048</v>
      </c>
      <c r="E39" s="23" t="n">
        <v>41016.5656708073</v>
      </c>
      <c r="F39" s="23" t="n">
        <f aca="false">D39-E39</f>
        <v>-19968.5656708073</v>
      </c>
      <c r="G39" s="24" t="n">
        <f aca="false">IF(E39&gt;0,D39/E39-1,"")</f>
        <v>-0.486841483294139</v>
      </c>
      <c r="H39" s="3" t="str">
        <f aca="false">IF(MAX(D39,E39)&lt;Parametros!$B$16,"",IF(E39=0,"PIDE SIN FCST",IF(ABS(G39)&gt;Parametros!$B$14,IF(G39&gt;0,"SOBRE FCST","BAJO FCST"),"")))</f>
        <v>BAJO FCST</v>
      </c>
    </row>
    <row r="40" customFormat="false" ht="15" hidden="false" customHeight="false" outlineLevel="0" collapsed="false">
      <c r="A40" s="3" t="n">
        <v>30000522</v>
      </c>
      <c r="B40" s="3" t="s">
        <v>186</v>
      </c>
      <c r="C40" s="3" t="s">
        <v>451</v>
      </c>
      <c r="D40" s="23" t="n">
        <v>84900</v>
      </c>
      <c r="E40" s="23" t="n">
        <v>65000</v>
      </c>
      <c r="F40" s="23" t="n">
        <f aca="false">D40-E40</f>
        <v>19900</v>
      </c>
      <c r="G40" s="24" t="n">
        <f aca="false">IF(E40&gt;0,D40/E40-1,"")</f>
        <v>0.306153846153846</v>
      </c>
      <c r="H40" s="3" t="str">
        <f aca="false">IF(MAX(D40,E40)&lt;Parametros!$B$16,"",IF(E40=0,"PIDE SIN FCST",IF(ABS(G40)&gt;Parametros!$B$14,IF(G40&gt;0,"SOBRE FCST","BAJO FCST"),"")))</f>
        <v>SOBRE FCST</v>
      </c>
    </row>
    <row r="41" customFormat="false" ht="15" hidden="false" customHeight="false" outlineLevel="0" collapsed="false">
      <c r="A41" s="3" t="n">
        <v>30000255</v>
      </c>
      <c r="B41" s="3" t="s">
        <v>193</v>
      </c>
      <c r="C41" s="3" t="s">
        <v>455</v>
      </c>
      <c r="D41" s="23" t="n">
        <v>76896</v>
      </c>
      <c r="E41" s="23" t="n">
        <v>56996.75</v>
      </c>
      <c r="F41" s="23" t="n">
        <f aca="false">D41-E41</f>
        <v>19899.25</v>
      </c>
      <c r="G41" s="24" t="n">
        <f aca="false">IF(E41&gt;0,D41/E41-1,"")</f>
        <v>0.349129555632558</v>
      </c>
      <c r="H41" s="3" t="str">
        <f aca="false">IF(MAX(D41,E41)&lt;Parametros!$B$16,"",IF(E41=0,"PIDE SIN FCST",IF(ABS(G41)&gt;Parametros!$B$14,IF(G41&gt;0,"SOBRE FCST","BAJO FCST"),"")))</f>
        <v>SOBRE FCST</v>
      </c>
    </row>
    <row r="42" customFormat="false" ht="15" hidden="false" customHeight="false" outlineLevel="0" collapsed="false">
      <c r="A42" s="3" t="n">
        <v>30000523</v>
      </c>
      <c r="B42" s="3" t="s">
        <v>194</v>
      </c>
      <c r="C42" s="3" t="s">
        <v>451</v>
      </c>
      <c r="D42" s="23" t="n">
        <v>106776</v>
      </c>
      <c r="E42" s="23" t="n">
        <v>87000</v>
      </c>
      <c r="F42" s="23" t="n">
        <f aca="false">D42-E42</f>
        <v>19776</v>
      </c>
      <c r="G42" s="24" t="n">
        <f aca="false">IF(E42&gt;0,D42/E42-1,"")</f>
        <v>0.227310344827586</v>
      </c>
      <c r="H42" s="3" t="str">
        <f aca="false">IF(MAX(D42,E42)&lt;Parametros!$B$16,"",IF(E42=0,"PIDE SIN FCST",IF(ABS(G42)&gt;Parametros!$B$14,IF(G42&gt;0,"SOBRE FCST","BAJO FCST"),"")))</f>
        <v>SOBRE FCST</v>
      </c>
    </row>
    <row r="43" customFormat="false" ht="15" hidden="false" customHeight="false" outlineLevel="0" collapsed="false">
      <c r="A43" s="3" t="n">
        <v>30000325</v>
      </c>
      <c r="B43" s="3" t="s">
        <v>189</v>
      </c>
      <c r="C43" s="3" t="s">
        <v>454</v>
      </c>
      <c r="D43" s="23" t="n">
        <v>27336</v>
      </c>
      <c r="E43" s="23" t="n">
        <v>46403.4</v>
      </c>
      <c r="F43" s="23" t="n">
        <f aca="false">D43-E43</f>
        <v>-19067.4</v>
      </c>
      <c r="G43" s="24" t="n">
        <f aca="false">IF(E43&gt;0,D43/E43-1,"")</f>
        <v>-0.410905235392234</v>
      </c>
      <c r="H43" s="3" t="str">
        <f aca="false">IF(MAX(D43,E43)&lt;Parametros!$B$16,"",IF(E43=0,"PIDE SIN FCST",IF(ABS(G43)&gt;Parametros!$B$14,IF(G43&gt;0,"SOBRE FCST","BAJO FCST"),"")))</f>
        <v>BAJO FCST</v>
      </c>
    </row>
    <row r="44" customFormat="false" ht="15" hidden="false" customHeight="false" outlineLevel="0" collapsed="false">
      <c r="A44" s="3" t="n">
        <v>30000523</v>
      </c>
      <c r="B44" s="3" t="s">
        <v>194</v>
      </c>
      <c r="C44" s="3" t="s">
        <v>453</v>
      </c>
      <c r="D44" s="23" t="n">
        <v>31620</v>
      </c>
      <c r="E44" s="23" t="n">
        <v>12863.2</v>
      </c>
      <c r="F44" s="23" t="n">
        <f aca="false">D44-E44</f>
        <v>18756.8</v>
      </c>
      <c r="G44" s="24" t="n">
        <f aca="false">IF(E44&gt;0,D44/E44-1,"")</f>
        <v>1.45817525965545</v>
      </c>
      <c r="H44" s="3" t="str">
        <f aca="false">IF(MAX(D44,E44)&lt;Parametros!$B$16,"",IF(E44=0,"PIDE SIN FCST",IF(ABS(G44)&gt;Parametros!$B$14,IF(G44&gt;0,"SOBRE FCST","BAJO FCST"),"")))</f>
        <v>SOBRE FCST</v>
      </c>
    </row>
    <row r="45" customFormat="false" ht="15" hidden="false" customHeight="false" outlineLevel="0" collapsed="false">
      <c r="A45" s="3" t="n">
        <v>30000326</v>
      </c>
      <c r="B45" s="3" t="s">
        <v>190</v>
      </c>
      <c r="C45" s="3" t="s">
        <v>448</v>
      </c>
      <c r="D45" s="23" t="n">
        <v>11940</v>
      </c>
      <c r="E45" s="23" t="n">
        <v>30306.75</v>
      </c>
      <c r="F45" s="23" t="n">
        <f aca="false">D45-E45</f>
        <v>-18366.75</v>
      </c>
      <c r="G45" s="24" t="n">
        <f aca="false">IF(E45&gt;0,D45/E45-1,"")</f>
        <v>-0.606028360018808</v>
      </c>
      <c r="H45" s="3" t="str">
        <f aca="false">IF(MAX(D45,E45)&lt;Parametros!$B$16,"",IF(E45=0,"PIDE SIN FCST",IF(ABS(G45)&gt;Parametros!$B$14,IF(G45&gt;0,"SOBRE FCST","BAJO FCST"),"")))</f>
        <v>BAJO FCST</v>
      </c>
    </row>
    <row r="46" customFormat="false" ht="15" hidden="false" customHeight="false" outlineLevel="0" collapsed="false">
      <c r="A46" s="3" t="n">
        <v>30002230</v>
      </c>
      <c r="B46" s="3" t="s">
        <v>226</v>
      </c>
      <c r="C46" s="3" t="s">
        <v>455</v>
      </c>
      <c r="D46" s="23" t="n">
        <v>46000</v>
      </c>
      <c r="E46" s="23" t="n">
        <v>28500</v>
      </c>
      <c r="F46" s="23" t="n">
        <f aca="false">D46-E46</f>
        <v>17500</v>
      </c>
      <c r="G46" s="24" t="n">
        <f aca="false">IF(E46&gt;0,D46/E46-1,"")</f>
        <v>0.614035087719298</v>
      </c>
      <c r="H46" s="3" t="str">
        <f aca="false">IF(MAX(D46,E46)&lt;Parametros!$B$16,"",IF(E46=0,"PIDE SIN FCST",IF(ABS(G46)&gt;Parametros!$B$14,IF(G46&gt;0,"SOBRE FCST","BAJO FCST"),"")))</f>
        <v>SOBRE FCST</v>
      </c>
    </row>
    <row r="47" customFormat="false" ht="15" hidden="false" customHeight="false" outlineLevel="0" collapsed="false">
      <c r="A47" s="3" t="n">
        <v>30000401</v>
      </c>
      <c r="B47" s="3" t="s">
        <v>198</v>
      </c>
      <c r="C47" s="3" t="s">
        <v>451</v>
      </c>
      <c r="D47" s="23" t="n">
        <v>115464</v>
      </c>
      <c r="E47" s="23" t="n">
        <v>98000</v>
      </c>
      <c r="F47" s="23" t="n">
        <f aca="false">D47-E47</f>
        <v>17464</v>
      </c>
      <c r="G47" s="24" t="n">
        <f aca="false">IF(E47&gt;0,D47/E47-1,"")</f>
        <v>0.178204081632653</v>
      </c>
      <c r="H47" s="3" t="str">
        <f aca="false">IF(MAX(D47,E47)&lt;Parametros!$B$16,"",IF(E47=0,"PIDE SIN FCST",IF(ABS(G47)&gt;Parametros!$B$14,IF(G47&gt;0,"SOBRE FCST","BAJO FCST"),"")))</f>
        <v/>
      </c>
    </row>
    <row r="48" customFormat="false" ht="15" hidden="false" customHeight="false" outlineLevel="0" collapsed="false">
      <c r="A48" s="3" t="n">
        <v>30000257</v>
      </c>
      <c r="B48" s="3" t="s">
        <v>197</v>
      </c>
      <c r="C48" s="3" t="s">
        <v>455</v>
      </c>
      <c r="D48" s="23" t="n">
        <v>59616</v>
      </c>
      <c r="E48" s="23" t="n">
        <v>42698</v>
      </c>
      <c r="F48" s="23" t="n">
        <f aca="false">D48-E48</f>
        <v>16918</v>
      </c>
      <c r="G48" s="24" t="n">
        <f aca="false">IF(E48&gt;0,D48/E48-1,"")</f>
        <v>0.396224647524474</v>
      </c>
      <c r="H48" s="3" t="str">
        <f aca="false">IF(MAX(D48,E48)&lt;Parametros!$B$16,"",IF(E48=0,"PIDE SIN FCST",IF(ABS(G48)&gt;Parametros!$B$14,IF(G48&gt;0,"SOBRE FCST","BAJO FCST"),"")))</f>
        <v>SOBRE FCST</v>
      </c>
    </row>
    <row r="49" customFormat="false" ht="15" hidden="false" customHeight="false" outlineLevel="0" collapsed="false">
      <c r="A49" s="3" t="n">
        <v>30000400</v>
      </c>
      <c r="B49" s="3" t="s">
        <v>199</v>
      </c>
      <c r="C49" s="3" t="s">
        <v>451</v>
      </c>
      <c r="D49" s="23" t="n">
        <v>90372</v>
      </c>
      <c r="E49" s="23" t="n">
        <v>74000</v>
      </c>
      <c r="F49" s="23" t="n">
        <f aca="false">D49-E49</f>
        <v>16372</v>
      </c>
      <c r="G49" s="24" t="n">
        <f aca="false">IF(E49&gt;0,D49/E49-1,"")</f>
        <v>0.221243243243243</v>
      </c>
      <c r="H49" s="3" t="str">
        <f aca="false">IF(MAX(D49,E49)&lt;Parametros!$B$16,"",IF(E49=0,"PIDE SIN FCST",IF(ABS(G49)&gt;Parametros!$B$14,IF(G49&gt;0,"SOBRE FCST","BAJO FCST"),"")))</f>
        <v>SOBRE FCST</v>
      </c>
    </row>
    <row r="50" customFormat="false" ht="15" hidden="false" customHeight="false" outlineLevel="0" collapsed="false">
      <c r="A50" s="3" t="n">
        <v>30000523</v>
      </c>
      <c r="B50" s="3" t="s">
        <v>194</v>
      </c>
      <c r="C50" s="3" t="s">
        <v>447</v>
      </c>
      <c r="D50" s="23" t="n">
        <v>44520</v>
      </c>
      <c r="E50" s="23" t="n">
        <v>60550.0851155927</v>
      </c>
      <c r="F50" s="23" t="n">
        <f aca="false">D50-E50</f>
        <v>-16030.0851155927</v>
      </c>
      <c r="G50" s="24" t="n">
        <f aca="false">IF(E50&gt;0,D50/E50-1,"")</f>
        <v>-0.264740917952313</v>
      </c>
      <c r="H50" s="3" t="str">
        <f aca="false">IF(MAX(D50,E50)&lt;Parametros!$B$16,"",IF(E50=0,"PIDE SIN FCST",IF(ABS(G50)&gt;Parametros!$B$14,IF(G50&gt;0,"SOBRE FCST","BAJO FCST"),"")))</f>
        <v>BAJO FCST</v>
      </c>
    </row>
    <row r="51" customFormat="false" ht="15" hidden="false" customHeight="false" outlineLevel="0" collapsed="false">
      <c r="A51" s="3" t="n">
        <v>30000325</v>
      </c>
      <c r="B51" s="3" t="s">
        <v>189</v>
      </c>
      <c r="C51" s="3" t="s">
        <v>455</v>
      </c>
      <c r="D51" s="23" t="n">
        <v>289224</v>
      </c>
      <c r="E51" s="23" t="n">
        <v>273200</v>
      </c>
      <c r="F51" s="23" t="n">
        <f aca="false">D51-E51</f>
        <v>16024</v>
      </c>
      <c r="G51" s="24" t="n">
        <f aca="false">IF(E51&gt;0,D51/E51-1,"")</f>
        <v>0.0586530014641289</v>
      </c>
      <c r="H51" s="3" t="str">
        <f aca="false">IF(MAX(D51,E51)&lt;Parametros!$B$16,"",IF(E51=0,"PIDE SIN FCST",IF(ABS(G51)&gt;Parametros!$B$14,IF(G51&gt;0,"SOBRE FCST","BAJO FCST"),"")))</f>
        <v/>
      </c>
    </row>
    <row r="52" customFormat="false" ht="15" hidden="false" customHeight="false" outlineLevel="0" collapsed="false">
      <c r="A52" s="3" t="n">
        <v>30002330</v>
      </c>
      <c r="B52" s="3" t="s">
        <v>215</v>
      </c>
      <c r="C52" s="3" t="s">
        <v>448</v>
      </c>
      <c r="D52" s="23" t="n">
        <v>25518</v>
      </c>
      <c r="E52" s="23" t="n">
        <v>10077.8666666667</v>
      </c>
      <c r="F52" s="23" t="n">
        <f aca="false">D52-E52</f>
        <v>15440.1333333333</v>
      </c>
      <c r="G52" s="24" t="n">
        <f aca="false">IF(E52&gt;0,D52/E52-1,"")</f>
        <v>1.53208350973751</v>
      </c>
      <c r="H52" s="3" t="str">
        <f aca="false">IF(MAX(D52,E52)&lt;Parametros!$B$16,"",IF(E52=0,"PIDE SIN FCST",IF(ABS(G52)&gt;Parametros!$B$14,IF(G52&gt;0,"SOBRE FCST","BAJO FCST"),"")))</f>
        <v>SOBRE FCST</v>
      </c>
    </row>
    <row r="53" customFormat="false" ht="15" hidden="false" customHeight="false" outlineLevel="0" collapsed="false">
      <c r="A53" s="3" t="n">
        <v>30000326</v>
      </c>
      <c r="B53" s="3" t="s">
        <v>190</v>
      </c>
      <c r="C53" s="3" t="s">
        <v>454</v>
      </c>
      <c r="D53" s="23" t="n">
        <v>21216</v>
      </c>
      <c r="E53" s="23" t="n">
        <v>35477.1</v>
      </c>
      <c r="F53" s="23" t="n">
        <f aca="false">D53-E53</f>
        <v>-14261.1</v>
      </c>
      <c r="G53" s="24" t="n">
        <f aca="false">IF(E53&gt;0,D53/E53-1,"")</f>
        <v>-0.401980432447973</v>
      </c>
      <c r="H53" s="3" t="str">
        <f aca="false">IF(MAX(D53,E53)&lt;Parametros!$B$16,"",IF(E53=0,"PIDE SIN FCST",IF(ABS(G53)&gt;Parametros!$B$14,IF(G53&gt;0,"SOBRE FCST","BAJO FCST"),"")))</f>
        <v>BAJO FCST</v>
      </c>
    </row>
    <row r="54" customFormat="false" ht="15" hidden="false" customHeight="false" outlineLevel="0" collapsed="false">
      <c r="A54" s="3" t="n">
        <v>30000524</v>
      </c>
      <c r="B54" s="3" t="s">
        <v>192</v>
      </c>
      <c r="C54" s="3" t="s">
        <v>453</v>
      </c>
      <c r="D54" s="23" t="n">
        <v>22680</v>
      </c>
      <c r="E54" s="23" t="n">
        <v>8994</v>
      </c>
      <c r="F54" s="23" t="n">
        <f aca="false">D54-E54</f>
        <v>13686</v>
      </c>
      <c r="G54" s="24" t="n">
        <f aca="false">IF(E54&gt;0,D54/E54-1,"")</f>
        <v>1.52168112074716</v>
      </c>
      <c r="H54" s="3" t="str">
        <f aca="false">IF(MAX(D54,E54)&lt;Parametros!$B$16,"",IF(E54=0,"PIDE SIN FCST",IF(ABS(G54)&gt;Parametros!$B$14,IF(G54&gt;0,"SOBRE FCST","BAJO FCST"),"")))</f>
        <v>SOBRE FCST</v>
      </c>
    </row>
    <row r="55" customFormat="false" ht="15" hidden="false" customHeight="false" outlineLevel="0" collapsed="false">
      <c r="A55" s="3" t="n">
        <v>30000258</v>
      </c>
      <c r="B55" s="3" t="s">
        <v>196</v>
      </c>
      <c r="C55" s="3" t="s">
        <v>447</v>
      </c>
      <c r="D55" s="23" t="n">
        <v>11976</v>
      </c>
      <c r="E55" s="23" t="n">
        <v>25374.9687232135</v>
      </c>
      <c r="F55" s="23" t="n">
        <f aca="false">D55-E55</f>
        <v>-13398.9687232135</v>
      </c>
      <c r="G55" s="24" t="n">
        <f aca="false">IF(E55&gt;0,D55/E55-1,"")</f>
        <v>-0.52803882713581</v>
      </c>
      <c r="H55" s="3" t="str">
        <f aca="false">IF(MAX(D55,E55)&lt;Parametros!$B$16,"",IF(E55=0,"PIDE SIN FCST",IF(ABS(G55)&gt;Parametros!$B$14,IF(G55&gt;0,"SOBRE FCST","BAJO FCST"),"")))</f>
        <v>BAJO FCST</v>
      </c>
    </row>
    <row r="56" customFormat="false" ht="15" hidden="false" customHeight="false" outlineLevel="0" collapsed="false">
      <c r="A56" s="3" t="n">
        <v>30000258</v>
      </c>
      <c r="B56" s="3" t="s">
        <v>196</v>
      </c>
      <c r="C56" s="3" t="s">
        <v>455</v>
      </c>
      <c r="D56" s="23" t="n">
        <v>38016</v>
      </c>
      <c r="E56" s="23" t="n">
        <v>24943.75</v>
      </c>
      <c r="F56" s="23" t="n">
        <f aca="false">D56-E56</f>
        <v>13072.25</v>
      </c>
      <c r="G56" s="24" t="n">
        <f aca="false">IF(E56&gt;0,D56/E56-1,"")</f>
        <v>0.5240691556001</v>
      </c>
      <c r="H56" s="3" t="str">
        <f aca="false">IF(MAX(D56,E56)&lt;Parametros!$B$16,"",IF(E56=0,"PIDE SIN FCST",IF(ABS(G56)&gt;Parametros!$B$14,IF(G56&gt;0,"SOBRE FCST","BAJO FCST"),"")))</f>
        <v>SOBRE FCST</v>
      </c>
    </row>
    <row r="57" customFormat="false" ht="15" hidden="false" customHeight="false" outlineLevel="0" collapsed="false">
      <c r="A57" s="3" t="n">
        <v>30000257</v>
      </c>
      <c r="B57" s="3" t="s">
        <v>197</v>
      </c>
      <c r="C57" s="3" t="s">
        <v>447</v>
      </c>
      <c r="D57" s="23" t="n">
        <v>14166</v>
      </c>
      <c r="E57" s="23" t="n">
        <v>27141.2477036517</v>
      </c>
      <c r="F57" s="23" t="n">
        <f aca="false">D57-E57</f>
        <v>-12975.2477036517</v>
      </c>
      <c r="G57" s="24" t="n">
        <f aca="false">IF(E57&gt;0,D57/E57-1,"")</f>
        <v>-0.478063788567316</v>
      </c>
      <c r="H57" s="3" t="str">
        <f aca="false">IF(MAX(D57,E57)&lt;Parametros!$B$16,"",IF(E57=0,"PIDE SIN FCST",IF(ABS(G57)&gt;Parametros!$B$14,IF(G57&gt;0,"SOBRE FCST","BAJO FCST"),"")))</f>
        <v>BAJO FCST</v>
      </c>
    </row>
    <row r="58" customFormat="false" ht="15" hidden="false" customHeight="false" outlineLevel="0" collapsed="false">
      <c r="A58" s="3" t="n">
        <v>30002229</v>
      </c>
      <c r="B58" s="3" t="s">
        <v>235</v>
      </c>
      <c r="C58" s="3" t="s">
        <v>455</v>
      </c>
      <c r="D58" s="23" t="n">
        <v>35650</v>
      </c>
      <c r="E58" s="23" t="n">
        <v>23300</v>
      </c>
      <c r="F58" s="23" t="n">
        <f aca="false">D58-E58</f>
        <v>12350</v>
      </c>
      <c r="G58" s="24" t="n">
        <f aca="false">IF(E58&gt;0,D58/E58-1,"")</f>
        <v>0.530042918454936</v>
      </c>
      <c r="H58" s="3" t="str">
        <f aca="false">IF(MAX(D58,E58)&lt;Parametros!$B$16,"",IF(E58=0,"PIDE SIN FCST",IF(ABS(G58)&gt;Parametros!$B$14,IF(G58&gt;0,"SOBRE FCST","BAJO FCST"),"")))</f>
        <v>SOBRE FCST</v>
      </c>
    </row>
    <row r="59" customFormat="false" ht="15" hidden="false" customHeight="false" outlineLevel="0" collapsed="false">
      <c r="A59" s="3" t="n">
        <v>30000353</v>
      </c>
      <c r="B59" s="3" t="s">
        <v>191</v>
      </c>
      <c r="C59" s="3" t="s">
        <v>448</v>
      </c>
      <c r="D59" s="23" t="n">
        <v>14196</v>
      </c>
      <c r="E59" s="23" t="n">
        <v>26458.375</v>
      </c>
      <c r="F59" s="23" t="n">
        <f aca="false">D59-E59</f>
        <v>-12262.375</v>
      </c>
      <c r="G59" s="24" t="n">
        <f aca="false">IF(E59&gt;0,D59/E59-1,"")</f>
        <v>-0.463459112662815</v>
      </c>
      <c r="H59" s="3" t="str">
        <f aca="false">IF(MAX(D59,E59)&lt;Parametros!$B$16,"",IF(E59=0,"PIDE SIN FCST",IF(ABS(G59)&gt;Parametros!$B$14,IF(G59&gt;0,"SOBRE FCST","BAJO FCST"),"")))</f>
        <v>BAJO FCST</v>
      </c>
    </row>
    <row r="60" customFormat="false" ht="15" hidden="false" customHeight="false" outlineLevel="0" collapsed="false">
      <c r="A60" s="3" t="n">
        <v>30001715</v>
      </c>
      <c r="B60" s="3" t="s">
        <v>228</v>
      </c>
      <c r="C60" s="3" t="s">
        <v>450</v>
      </c>
      <c r="D60" s="23" t="n">
        <v>6543.6</v>
      </c>
      <c r="E60" s="23" t="n">
        <v>18200</v>
      </c>
      <c r="F60" s="23" t="n">
        <f aca="false">D60-E60</f>
        <v>-11656.4</v>
      </c>
      <c r="G60" s="24" t="n">
        <f aca="false">IF(E60&gt;0,D60/E60-1,"")</f>
        <v>-0.640461538461538</v>
      </c>
      <c r="H60" s="3" t="str">
        <f aca="false">IF(MAX(D60,E60)&lt;Parametros!$B$16,"",IF(E60=0,"PIDE SIN FCST",IF(ABS(G60)&gt;Parametros!$B$14,IF(G60&gt;0,"SOBRE FCST","BAJO FCST"),"")))</f>
        <v>BAJO FCST</v>
      </c>
    </row>
    <row r="61" customFormat="false" ht="15" hidden="false" customHeight="false" outlineLevel="0" collapsed="false">
      <c r="A61" s="3" t="n">
        <v>30000325</v>
      </c>
      <c r="B61" s="3" t="s">
        <v>189</v>
      </c>
      <c r="C61" s="3" t="s">
        <v>448</v>
      </c>
      <c r="D61" s="23" t="n">
        <v>16884</v>
      </c>
      <c r="E61" s="23" t="n">
        <v>28326.2916666667</v>
      </c>
      <c r="F61" s="23" t="n">
        <f aca="false">D61-E61</f>
        <v>-11442.2916666667</v>
      </c>
      <c r="G61" s="24" t="n">
        <f aca="false">IF(E61&gt;0,D61/E61-1,"")</f>
        <v>-0.40394598069226</v>
      </c>
      <c r="H61" s="3" t="str">
        <f aca="false">IF(MAX(D61,E61)&lt;Parametros!$B$16,"",IF(E61=0,"PIDE SIN FCST",IF(ABS(G61)&gt;Parametros!$B$14,IF(G61&gt;0,"SOBRE FCST","BAJO FCST"),"")))</f>
        <v>BAJO FCST</v>
      </c>
    </row>
    <row r="62" customFormat="false" ht="15" hidden="false" customHeight="false" outlineLevel="0" collapsed="false">
      <c r="A62" s="3" t="n">
        <v>30000400</v>
      </c>
      <c r="B62" s="3" t="s">
        <v>199</v>
      </c>
      <c r="C62" s="3" t="s">
        <v>455</v>
      </c>
      <c r="D62" s="23" t="n">
        <v>37152</v>
      </c>
      <c r="E62" s="23" t="n">
        <v>26380.221</v>
      </c>
      <c r="F62" s="23" t="n">
        <f aca="false">D62-E62</f>
        <v>10771.779</v>
      </c>
      <c r="G62" s="24" t="n">
        <f aca="false">IF(E62&gt;0,D62/E62-1,"")</f>
        <v>0.408327852901611</v>
      </c>
      <c r="H62" s="3" t="str">
        <f aca="false">IF(MAX(D62,E62)&lt;Parametros!$B$16,"",IF(E62=0,"PIDE SIN FCST",IF(ABS(G62)&gt;Parametros!$B$14,IF(G62&gt;0,"SOBRE FCST","BAJO FCST"),"")))</f>
        <v>SOBRE FCST</v>
      </c>
    </row>
    <row r="63" customFormat="false" ht="15" hidden="false" customHeight="false" outlineLevel="0" collapsed="false">
      <c r="A63" s="3" t="n">
        <v>30000326</v>
      </c>
      <c r="B63" s="3" t="s">
        <v>190</v>
      </c>
      <c r="C63" s="3" t="s">
        <v>453</v>
      </c>
      <c r="D63" s="23" t="n">
        <v>23880</v>
      </c>
      <c r="E63" s="23" t="n">
        <v>14304.3296294395</v>
      </c>
      <c r="F63" s="23" t="n">
        <f aca="false">D63-E63</f>
        <v>9575.67037056053</v>
      </c>
      <c r="G63" s="24" t="n">
        <f aca="false">IF(E63&gt;0,D63/E63-1,"")</f>
        <v>0.669424616086379</v>
      </c>
      <c r="H63" s="3" t="str">
        <f aca="false">IF(MAX(D63,E63)&lt;Parametros!$B$16,"",IF(E63=0,"PIDE SIN FCST",IF(ABS(G63)&gt;Parametros!$B$14,IF(G63&gt;0,"SOBRE FCST","BAJO FCST"),"")))</f>
        <v>SOBRE FCST</v>
      </c>
    </row>
    <row r="64" customFormat="false" ht="15" hidden="false" customHeight="false" outlineLevel="0" collapsed="false">
      <c r="A64" s="3" t="n">
        <v>30000524</v>
      </c>
      <c r="B64" s="3" t="s">
        <v>192</v>
      </c>
      <c r="C64" s="3" t="s">
        <v>447</v>
      </c>
      <c r="D64" s="23" t="n">
        <v>24360</v>
      </c>
      <c r="E64" s="23" t="n">
        <v>33185.1452757667</v>
      </c>
      <c r="F64" s="23" t="n">
        <f aca="false">D64-E64</f>
        <v>-8825.14527576666</v>
      </c>
      <c r="G64" s="24" t="n">
        <f aca="false">IF(E64&gt;0,D64/E64-1,"")</f>
        <v>-0.26593661719514</v>
      </c>
      <c r="H64" s="3" t="str">
        <f aca="false">IF(MAX(D64,E64)&lt;Parametros!$B$16,"",IF(E64=0,"PIDE SIN FCST",IF(ABS(G64)&gt;Parametros!$B$14,IF(G64&gt;0,"SOBRE FCST","BAJO FCST"),"")))</f>
        <v>BAJO FCST</v>
      </c>
    </row>
    <row r="65" customFormat="false" ht="15" hidden="false" customHeight="false" outlineLevel="0" collapsed="false">
      <c r="A65" s="3" t="n">
        <v>30001925</v>
      </c>
      <c r="B65" s="3" t="s">
        <v>283</v>
      </c>
      <c r="C65" s="3" t="s">
        <v>454</v>
      </c>
      <c r="D65" s="23" t="n">
        <v>3588</v>
      </c>
      <c r="E65" s="23" t="n">
        <v>12332.7</v>
      </c>
      <c r="F65" s="23" t="n">
        <f aca="false">D65-E65</f>
        <v>-8744.7</v>
      </c>
      <c r="G65" s="24" t="n">
        <f aca="false">IF(E65&gt;0,D65/E65-1,"")</f>
        <v>-0.70906614123428</v>
      </c>
      <c r="H65" s="3" t="str">
        <f aca="false">IF(MAX(D65,E65)&lt;Parametros!$B$16,"",IF(E65=0,"PIDE SIN FCST",IF(ABS(G65)&gt;Parametros!$B$14,IF(G65&gt;0,"SOBRE FCST","BAJO FCST"),"")))</f>
        <v>BAJO FCST</v>
      </c>
    </row>
    <row r="66" customFormat="false" ht="15" hidden="false" customHeight="false" outlineLevel="0" collapsed="false">
      <c r="A66" s="3" t="n">
        <v>30000256</v>
      </c>
      <c r="B66" s="3" t="s">
        <v>195</v>
      </c>
      <c r="C66" s="3" t="s">
        <v>455</v>
      </c>
      <c r="D66" s="23" t="n">
        <v>26784</v>
      </c>
      <c r="E66" s="23" t="n">
        <v>18040.7</v>
      </c>
      <c r="F66" s="23" t="n">
        <f aca="false">D66-E66</f>
        <v>8743.3</v>
      </c>
      <c r="G66" s="24" t="n">
        <f aca="false">IF(E66&gt;0,D66/E66-1,"")</f>
        <v>0.484643057087585</v>
      </c>
      <c r="H66" s="3" t="str">
        <f aca="false">IF(MAX(D66,E66)&lt;Parametros!$B$16,"",IF(E66=0,"PIDE SIN FCST",IF(ABS(G66)&gt;Parametros!$B$14,IF(G66&gt;0,"SOBRE FCST","BAJO FCST"),"")))</f>
        <v>SOBRE FCST</v>
      </c>
    </row>
    <row r="67" customFormat="false" ht="15" hidden="false" customHeight="false" outlineLevel="0" collapsed="false">
      <c r="A67" s="3" t="n">
        <v>30000255</v>
      </c>
      <c r="B67" s="3" t="s">
        <v>193</v>
      </c>
      <c r="C67" s="3" t="s">
        <v>448</v>
      </c>
      <c r="D67" s="23" t="n">
        <v>26868</v>
      </c>
      <c r="E67" s="23" t="n">
        <v>35491.8390533333</v>
      </c>
      <c r="F67" s="23" t="n">
        <f aca="false">D67-E67</f>
        <v>-8623.83905333333</v>
      </c>
      <c r="G67" s="24" t="n">
        <f aca="false">IF(E67&gt;0,D67/E67-1,"")</f>
        <v>-0.24298090162007</v>
      </c>
      <c r="H67" s="3" t="str">
        <f aca="false">IF(MAX(D67,E67)&lt;Parametros!$B$16,"",IF(E67=0,"PIDE SIN FCST",IF(ABS(G67)&gt;Parametros!$B$14,IF(G67&gt;0,"SOBRE FCST","BAJO FCST"),"")))</f>
        <v>BAJO FCST</v>
      </c>
    </row>
    <row r="68" customFormat="false" ht="15" hidden="false" customHeight="false" outlineLevel="0" collapsed="false">
      <c r="A68" s="3" t="n">
        <v>30000384</v>
      </c>
      <c r="B68" s="3" t="s">
        <v>210</v>
      </c>
      <c r="C68" s="3" t="s">
        <v>455</v>
      </c>
      <c r="D68" s="23" t="n">
        <v>51234</v>
      </c>
      <c r="E68" s="23" t="n">
        <v>43224.4833950025</v>
      </c>
      <c r="F68" s="23" t="n">
        <f aca="false">D68-E68</f>
        <v>8009.51660499751</v>
      </c>
      <c r="G68" s="24" t="n">
        <f aca="false">IF(E68&gt;0,D68/E68-1,"")</f>
        <v>0.185300458811812</v>
      </c>
      <c r="H68" s="3" t="str">
        <f aca="false">IF(MAX(D68,E68)&lt;Parametros!$B$16,"",IF(E68=0,"PIDE SIN FCST",IF(ABS(G68)&gt;Parametros!$B$14,IF(G68&gt;0,"SOBRE FCST","BAJO FCST"),"")))</f>
        <v/>
      </c>
    </row>
    <row r="69" customFormat="false" ht="15" hidden="false" customHeight="false" outlineLevel="0" collapsed="false">
      <c r="A69" s="3" t="n">
        <v>30000481</v>
      </c>
      <c r="B69" s="3" t="s">
        <v>202</v>
      </c>
      <c r="C69" s="3" t="s">
        <v>450</v>
      </c>
      <c r="D69" s="23" t="n">
        <v>36204</v>
      </c>
      <c r="E69" s="23" t="n">
        <v>44000</v>
      </c>
      <c r="F69" s="23" t="n">
        <f aca="false">D69-E69</f>
        <v>-7796</v>
      </c>
      <c r="G69" s="24" t="n">
        <f aca="false">IF(E69&gt;0,D69/E69-1,"")</f>
        <v>-0.177181818181818</v>
      </c>
      <c r="H69" s="3" t="str">
        <f aca="false">IF(MAX(D69,E69)&lt;Parametros!$B$16,"",IF(E69=0,"PIDE SIN FCST",IF(ABS(G69)&gt;Parametros!$B$14,IF(G69&gt;0,"SOBRE FCST","BAJO FCST"),"")))</f>
        <v/>
      </c>
    </row>
    <row r="70" customFormat="false" ht="15" hidden="false" customHeight="false" outlineLevel="0" collapsed="false">
      <c r="A70" s="3" t="n">
        <v>30000514</v>
      </c>
      <c r="B70" s="3" t="s">
        <v>204</v>
      </c>
      <c r="C70" s="3" t="s">
        <v>455</v>
      </c>
      <c r="D70" s="23" t="n">
        <v>33660</v>
      </c>
      <c r="E70" s="23" t="n">
        <v>25952.4</v>
      </c>
      <c r="F70" s="23" t="n">
        <f aca="false">D70-E70</f>
        <v>7707.6</v>
      </c>
      <c r="G70" s="24" t="n">
        <f aca="false">IF(E70&gt;0,D70/E70-1,"")</f>
        <v>0.2969898737689</v>
      </c>
      <c r="H70" s="3" t="str">
        <f aca="false">IF(MAX(D70,E70)&lt;Parametros!$B$16,"",IF(E70=0,"PIDE SIN FCST",IF(ABS(G70)&gt;Parametros!$B$14,IF(G70&gt;0,"SOBRE FCST","BAJO FCST"),"")))</f>
        <v>SOBRE FCST</v>
      </c>
    </row>
    <row r="71" customFormat="false" ht="15" hidden="false" customHeight="false" outlineLevel="0" collapsed="false">
      <c r="A71" s="3" t="n">
        <v>30001409</v>
      </c>
      <c r="B71" s="3" t="s">
        <v>211</v>
      </c>
      <c r="C71" s="3" t="s">
        <v>455</v>
      </c>
      <c r="D71" s="23" t="n">
        <v>20740</v>
      </c>
      <c r="E71" s="23" t="n">
        <v>28340.693</v>
      </c>
      <c r="F71" s="23" t="n">
        <f aca="false">D71-E71</f>
        <v>-7600.693</v>
      </c>
      <c r="G71" s="24" t="n">
        <f aca="false">IF(E71&gt;0,D71/E71-1,"")</f>
        <v>-0.268190089776563</v>
      </c>
      <c r="H71" s="3" t="str">
        <f aca="false">IF(MAX(D71,E71)&lt;Parametros!$B$16,"",IF(E71=0,"PIDE SIN FCST",IF(ABS(G71)&gt;Parametros!$B$14,IF(G71&gt;0,"SOBRE FCST","BAJO FCST"),"")))</f>
        <v>BAJO FCST</v>
      </c>
    </row>
    <row r="72" customFormat="false" ht="15" hidden="false" customHeight="false" outlineLevel="0" collapsed="false">
      <c r="A72" s="3" t="n">
        <v>30000257</v>
      </c>
      <c r="B72" s="3" t="s">
        <v>197</v>
      </c>
      <c r="C72" s="3" t="s">
        <v>450</v>
      </c>
      <c r="D72" s="23" t="n">
        <v>14976</v>
      </c>
      <c r="E72" s="23" t="n">
        <v>22509.2013815385</v>
      </c>
      <c r="F72" s="23" t="n">
        <f aca="false">D72-E72</f>
        <v>-7533.20138153847</v>
      </c>
      <c r="G72" s="24" t="n">
        <f aca="false">IF(E72&gt;0,D72/E72-1,"")</f>
        <v>-0.334672086043756</v>
      </c>
      <c r="H72" s="3" t="str">
        <f aca="false">IF(MAX(D72,E72)&lt;Parametros!$B$16,"",IF(E72=0,"PIDE SIN FCST",IF(ABS(G72)&gt;Parametros!$B$14,IF(G72&gt;0,"SOBRE FCST","BAJO FCST"),"")))</f>
        <v>BAJO FCST</v>
      </c>
    </row>
    <row r="73" customFormat="false" ht="15" hidden="false" customHeight="false" outlineLevel="0" collapsed="false">
      <c r="A73" s="3" t="n">
        <v>30000481</v>
      </c>
      <c r="B73" s="3" t="s">
        <v>202</v>
      </c>
      <c r="C73" s="3" t="s">
        <v>454</v>
      </c>
      <c r="D73" s="23" t="n">
        <v>17952</v>
      </c>
      <c r="E73" s="23" t="n">
        <v>10500</v>
      </c>
      <c r="F73" s="23" t="n">
        <f aca="false">D73-E73</f>
        <v>7452</v>
      </c>
      <c r="G73" s="24" t="n">
        <f aca="false">IF(E73&gt;0,D73/E73-1,"")</f>
        <v>0.709714285714286</v>
      </c>
      <c r="H73" s="3" t="str">
        <f aca="false">IF(MAX(D73,E73)&lt;Parametros!$B$16,"",IF(E73=0,"PIDE SIN FCST",IF(ABS(G73)&gt;Parametros!$B$14,IF(G73&gt;0,"SOBRE FCST","BAJO FCST"),"")))</f>
        <v>SOBRE FCST</v>
      </c>
    </row>
    <row r="74" customFormat="false" ht="15" hidden="false" customHeight="false" outlineLevel="0" collapsed="false">
      <c r="A74" s="3" t="n">
        <v>30000255</v>
      </c>
      <c r="B74" s="3" t="s">
        <v>193</v>
      </c>
      <c r="C74" s="3" t="s">
        <v>450</v>
      </c>
      <c r="D74" s="23" t="n">
        <v>19434</v>
      </c>
      <c r="E74" s="23" t="n">
        <v>26856.0737606884</v>
      </c>
      <c r="F74" s="23" t="n">
        <f aca="false">D74-E74</f>
        <v>-7422.07376068836</v>
      </c>
      <c r="G74" s="24" t="n">
        <f aca="false">IF(E74&gt;0,D74/E74-1,"")</f>
        <v>-0.276364811432441</v>
      </c>
      <c r="H74" s="3" t="str">
        <f aca="false">IF(MAX(D74,E74)&lt;Parametros!$B$16,"",IF(E74=0,"PIDE SIN FCST",IF(ABS(G74)&gt;Parametros!$B$14,IF(G74&gt;0,"SOBRE FCST","BAJO FCST"),"")))</f>
        <v>BAJO FCST</v>
      </c>
    </row>
    <row r="75" customFormat="false" ht="15" hidden="false" customHeight="false" outlineLevel="0" collapsed="false">
      <c r="A75" s="3" t="n">
        <v>30000524</v>
      </c>
      <c r="B75" s="3" t="s">
        <v>192</v>
      </c>
      <c r="C75" s="3" t="s">
        <v>451</v>
      </c>
      <c r="D75" s="23" t="n">
        <v>15000</v>
      </c>
      <c r="E75" s="23" t="n">
        <v>7600</v>
      </c>
      <c r="F75" s="23" t="n">
        <f aca="false">D75-E75</f>
        <v>7400</v>
      </c>
      <c r="G75" s="24" t="n">
        <f aca="false">IF(E75&gt;0,D75/E75-1,"")</f>
        <v>0.973684210526316</v>
      </c>
      <c r="H75" s="3" t="str">
        <f aca="false">IF(MAX(D75,E75)&lt;Parametros!$B$16,"",IF(E75=0,"PIDE SIN FCST",IF(ABS(G75)&gt;Parametros!$B$14,IF(G75&gt;0,"SOBRE FCST","BAJO FCST"),"")))</f>
        <v>SOBRE FCST</v>
      </c>
    </row>
    <row r="76" customFormat="false" ht="15" hidden="false" customHeight="false" outlineLevel="0" collapsed="false">
      <c r="A76" s="3" t="n">
        <v>30000481</v>
      </c>
      <c r="B76" s="3" t="s">
        <v>202</v>
      </c>
      <c r="C76" s="3" t="s">
        <v>448</v>
      </c>
      <c r="D76" s="23" t="n">
        <v>7008</v>
      </c>
      <c r="E76" s="23" t="n">
        <v>14403.0833333333</v>
      </c>
      <c r="F76" s="23" t="n">
        <f aca="false">D76-E76</f>
        <v>-7395.08333333333</v>
      </c>
      <c r="G76" s="24" t="n">
        <f aca="false">IF(E76&gt;0,D76/E76-1,"")</f>
        <v>-0.513437516272557</v>
      </c>
      <c r="H76" s="3" t="str">
        <f aca="false">IF(MAX(D76,E76)&lt;Parametros!$B$16,"",IF(E76=0,"PIDE SIN FCST",IF(ABS(G76)&gt;Parametros!$B$14,IF(G76&gt;0,"SOBRE FCST","BAJO FCST"),"")))</f>
        <v>BAJO FCST</v>
      </c>
    </row>
    <row r="77" customFormat="false" ht="15" hidden="false" customHeight="false" outlineLevel="0" collapsed="false">
      <c r="A77" s="3" t="n">
        <v>30000258</v>
      </c>
      <c r="B77" s="3" t="s">
        <v>196</v>
      </c>
      <c r="C77" s="3" t="s">
        <v>450</v>
      </c>
      <c r="D77" s="23" t="n">
        <v>15750</v>
      </c>
      <c r="E77" s="23" t="n">
        <v>23124.5876598882</v>
      </c>
      <c r="F77" s="23" t="n">
        <f aca="false">D77-E77</f>
        <v>-7374.58765988816</v>
      </c>
      <c r="G77" s="24" t="n">
        <f aca="false">IF(E77&gt;0,D77/E77-1,"")</f>
        <v>-0.318906774397543</v>
      </c>
      <c r="H77" s="3" t="str">
        <f aca="false">IF(MAX(D77,E77)&lt;Parametros!$B$16,"",IF(E77=0,"PIDE SIN FCST",IF(ABS(G77)&gt;Parametros!$B$14,IF(G77&gt;0,"SOBRE FCST","BAJO FCST"),"")))</f>
        <v>BAJO FCST</v>
      </c>
    </row>
    <row r="78" customFormat="false" ht="15" hidden="false" customHeight="false" outlineLevel="0" collapsed="false">
      <c r="A78" s="3" t="n">
        <v>30002228</v>
      </c>
      <c r="B78" s="3" t="s">
        <v>255</v>
      </c>
      <c r="C78" s="3" t="s">
        <v>455</v>
      </c>
      <c r="D78" s="23" t="n">
        <v>20125</v>
      </c>
      <c r="E78" s="23" t="n">
        <v>13000</v>
      </c>
      <c r="F78" s="23" t="n">
        <f aca="false">D78-E78</f>
        <v>7125</v>
      </c>
      <c r="G78" s="24" t="n">
        <f aca="false">IF(E78&gt;0,D78/E78-1,"")</f>
        <v>0.548076923076923</v>
      </c>
      <c r="H78" s="3" t="str">
        <f aca="false">IF(MAX(D78,E78)&lt;Parametros!$B$16,"",IF(E78=0,"PIDE SIN FCST",IF(ABS(G78)&gt;Parametros!$B$14,IF(G78&gt;0,"SOBRE FCST","BAJO FCST"),"")))</f>
        <v>SOBRE FCST</v>
      </c>
    </row>
    <row r="79" customFormat="false" ht="15" hidden="false" customHeight="false" outlineLevel="0" collapsed="false">
      <c r="A79" s="3" t="n">
        <v>30000353</v>
      </c>
      <c r="B79" s="3" t="s">
        <v>191</v>
      </c>
      <c r="C79" s="3" t="s">
        <v>453</v>
      </c>
      <c r="D79" s="23" t="n">
        <v>17952</v>
      </c>
      <c r="E79" s="23" t="n">
        <v>10831.44</v>
      </c>
      <c r="F79" s="23" t="n">
        <f aca="false">D79-E79</f>
        <v>7120.56</v>
      </c>
      <c r="G79" s="24" t="n">
        <f aca="false">IF(E79&gt;0,D79/E79-1,"")</f>
        <v>0.657397354368394</v>
      </c>
      <c r="H79" s="3" t="str">
        <f aca="false">IF(MAX(D79,E79)&lt;Parametros!$B$16,"",IF(E79=0,"PIDE SIN FCST",IF(ABS(G79)&gt;Parametros!$B$14,IF(G79&gt;0,"SOBRE FCST","BAJO FCST"),"")))</f>
        <v>SOBRE FCST</v>
      </c>
    </row>
    <row r="80" customFormat="false" ht="15" hidden="false" customHeight="false" outlineLevel="0" collapsed="false">
      <c r="A80" s="3" t="n">
        <v>30000256</v>
      </c>
      <c r="B80" s="3" t="s">
        <v>195</v>
      </c>
      <c r="C80" s="3" t="s">
        <v>450</v>
      </c>
      <c r="D80" s="23" t="n">
        <v>13812</v>
      </c>
      <c r="E80" s="23" t="n">
        <v>20736.4013815385</v>
      </c>
      <c r="F80" s="23" t="n">
        <f aca="false">D80-E80</f>
        <v>-6924.40138153847</v>
      </c>
      <c r="G80" s="24" t="n">
        <f aca="false">IF(E80&gt;0,D80/E80-1,"")</f>
        <v>-0.333924930084698</v>
      </c>
      <c r="H80" s="3" t="str">
        <f aca="false">IF(MAX(D80,E80)&lt;Parametros!$B$16,"",IF(E80=0,"PIDE SIN FCST",IF(ABS(G80)&gt;Parametros!$B$14,IF(G80&gt;0,"SOBRE FCST","BAJO FCST"),"")))</f>
        <v>BAJO FCST</v>
      </c>
    </row>
    <row r="81" customFormat="false" ht="15" hidden="false" customHeight="false" outlineLevel="0" collapsed="false">
      <c r="A81" s="3" t="n">
        <v>30002315</v>
      </c>
      <c r="B81" s="3" t="s">
        <v>208</v>
      </c>
      <c r="C81" s="3" t="s">
        <v>453</v>
      </c>
      <c r="D81" s="23" t="n">
        <v>13068</v>
      </c>
      <c r="E81" s="23" t="n">
        <v>6400</v>
      </c>
      <c r="F81" s="23" t="n">
        <f aca="false">D81-E81</f>
        <v>6668</v>
      </c>
      <c r="G81" s="24" t="n">
        <f aca="false">IF(E81&gt;0,D81/E81-1,"")</f>
        <v>1.041875</v>
      </c>
      <c r="H81" s="3" t="str">
        <f aca="false">IF(MAX(D81,E81)&lt;Parametros!$B$16,"",IF(E81=0,"PIDE SIN FCST",IF(ABS(G81)&gt;Parametros!$B$14,IF(G81&gt;0,"SOBRE FCST","BAJO FCST"),"")))</f>
        <v>SOBRE FCST</v>
      </c>
    </row>
    <row r="82" customFormat="false" ht="15" hidden="false" customHeight="false" outlineLevel="0" collapsed="false">
      <c r="A82" s="3" t="n">
        <v>30002099</v>
      </c>
      <c r="B82" s="3" t="s">
        <v>201</v>
      </c>
      <c r="C82" s="3" t="s">
        <v>455</v>
      </c>
      <c r="D82" s="23" t="n">
        <v>20820</v>
      </c>
      <c r="E82" s="23" t="n">
        <v>14472.5197706589</v>
      </c>
      <c r="F82" s="23" t="n">
        <f aca="false">D82-E82</f>
        <v>6347.4802293411</v>
      </c>
      <c r="G82" s="24" t="n">
        <f aca="false">IF(E82&gt;0,D82/E82-1,"")</f>
        <v>0.438588464892601</v>
      </c>
      <c r="H82" s="3" t="str">
        <f aca="false">IF(MAX(D82,E82)&lt;Parametros!$B$16,"",IF(E82=0,"PIDE SIN FCST",IF(ABS(G82)&gt;Parametros!$B$14,IF(G82&gt;0,"SOBRE FCST","BAJO FCST"),"")))</f>
        <v>SOBRE FCST</v>
      </c>
    </row>
    <row r="83" customFormat="false" ht="15" hidden="false" customHeight="false" outlineLevel="0" collapsed="false">
      <c r="A83" s="3" t="n">
        <v>30002099</v>
      </c>
      <c r="B83" s="3" t="s">
        <v>201</v>
      </c>
      <c r="C83" s="3" t="s">
        <v>447</v>
      </c>
      <c r="D83" s="23" t="n">
        <v>12396</v>
      </c>
      <c r="E83" s="23" t="n">
        <v>18659.8278470602</v>
      </c>
      <c r="F83" s="23" t="n">
        <f aca="false">D83-E83</f>
        <v>-6263.82784706022</v>
      </c>
      <c r="G83" s="24" t="n">
        <f aca="false">IF(E83&gt;0,D83/E83-1,"")</f>
        <v>-0.335685189509777</v>
      </c>
      <c r="H83" s="3" t="str">
        <f aca="false">IF(MAX(D83,E83)&lt;Parametros!$B$16,"",IF(E83=0,"PIDE SIN FCST",IF(ABS(G83)&gt;Parametros!$B$14,IF(G83&gt;0,"SOBRE FCST","BAJO FCST"),"")))</f>
        <v>BAJO FCST</v>
      </c>
    </row>
    <row r="84" customFormat="false" ht="15" hidden="false" customHeight="false" outlineLevel="0" collapsed="false">
      <c r="A84" s="3" t="n">
        <v>30000524</v>
      </c>
      <c r="B84" s="3" t="s">
        <v>192</v>
      </c>
      <c r="C84" s="3" t="s">
        <v>452</v>
      </c>
      <c r="D84" s="23" t="n">
        <v>15660</v>
      </c>
      <c r="E84" s="23" t="n">
        <v>21891.7901712058</v>
      </c>
      <c r="F84" s="23" t="n">
        <f aca="false">D84-E84</f>
        <v>-6231.79017120575</v>
      </c>
      <c r="G84" s="24" t="n">
        <f aca="false">IF(E84&gt;0,D84/E84-1,"")</f>
        <v>-0.284663342854547</v>
      </c>
      <c r="H84" s="3" t="str">
        <f aca="false">IF(MAX(D84,E84)&lt;Parametros!$B$16,"",IF(E84=0,"PIDE SIN FCST",IF(ABS(G84)&gt;Parametros!$B$14,IF(G84&gt;0,"SOBRE FCST","BAJO FCST"),"")))</f>
        <v>BAJO FCST</v>
      </c>
    </row>
    <row r="85" customFormat="false" ht="15" hidden="false" customHeight="false" outlineLevel="0" collapsed="false">
      <c r="A85" s="3" t="n">
        <v>30000309</v>
      </c>
      <c r="B85" s="3" t="s">
        <v>200</v>
      </c>
      <c r="C85" s="3" t="s">
        <v>447</v>
      </c>
      <c r="D85" s="23" t="n">
        <v>7776</v>
      </c>
      <c r="E85" s="23" t="n">
        <v>13937.1003024419</v>
      </c>
      <c r="F85" s="23" t="n">
        <f aca="false">D85-E85</f>
        <v>-6161.10030244194</v>
      </c>
      <c r="G85" s="24" t="n">
        <f aca="false">IF(E85&gt;0,D85/E85-1,"")</f>
        <v>-0.442064717103489</v>
      </c>
      <c r="H85" s="3" t="str">
        <f aca="false">IF(MAX(D85,E85)&lt;Parametros!$B$16,"",IF(E85=0,"PIDE SIN FCST",IF(ABS(G85)&gt;Parametros!$B$14,IF(G85&gt;0,"SOBRE FCST","BAJO FCST"),"")))</f>
        <v>BAJO FCST</v>
      </c>
    </row>
    <row r="86" customFormat="false" ht="15" hidden="false" customHeight="false" outlineLevel="0" collapsed="false">
      <c r="A86" s="3" t="n">
        <v>30000258</v>
      </c>
      <c r="B86" s="3" t="s">
        <v>196</v>
      </c>
      <c r="C86" s="3" t="s">
        <v>454</v>
      </c>
      <c r="D86" s="23" t="n">
        <v>6912</v>
      </c>
      <c r="E86" s="23" t="n">
        <v>13025.4</v>
      </c>
      <c r="F86" s="23" t="n">
        <f aca="false">D86-E86</f>
        <v>-6113.4</v>
      </c>
      <c r="G86" s="24" t="n">
        <f aca="false">IF(E86&gt;0,D86/E86-1,"")</f>
        <v>-0.469344511492929</v>
      </c>
      <c r="H86" s="3" t="str">
        <f aca="false">IF(MAX(D86,E86)&lt;Parametros!$B$16,"",IF(E86=0,"PIDE SIN FCST",IF(ABS(G86)&gt;Parametros!$B$14,IF(G86&gt;0,"SOBRE FCST","BAJO FCST"),"")))</f>
        <v>BAJO FCST</v>
      </c>
    </row>
    <row r="87" customFormat="false" ht="15" hidden="false" customHeight="false" outlineLevel="0" collapsed="false">
      <c r="A87" s="3" t="n">
        <v>30002065</v>
      </c>
      <c r="B87" s="3" t="s">
        <v>225</v>
      </c>
      <c r="C87" s="3" t="s">
        <v>455</v>
      </c>
      <c r="D87" s="23" t="n">
        <v>0</v>
      </c>
      <c r="E87" s="23" t="n">
        <v>6056.4</v>
      </c>
      <c r="F87" s="23" t="n">
        <f aca="false">D87-E87</f>
        <v>-6056.4</v>
      </c>
      <c r="G87" s="24" t="n">
        <f aca="false">IF(E87&gt;0,D87/E87-1,"")</f>
        <v>-1</v>
      </c>
      <c r="H87" s="3" t="str">
        <f aca="false">IF(MAX(D87,E87)&lt;Parametros!$B$16,"",IF(E87=0,"PIDE SIN FCST",IF(ABS(G87)&gt;Parametros!$B$14,IF(G87&gt;0,"SOBRE FCST","BAJO FCST"),"")))</f>
        <v>BAJO FCST</v>
      </c>
    </row>
    <row r="88" customFormat="false" ht="15" hidden="false" customHeight="false" outlineLevel="0" collapsed="false">
      <c r="A88" s="3" t="n">
        <v>30002066</v>
      </c>
      <c r="B88" s="3" t="s">
        <v>203</v>
      </c>
      <c r="C88" s="3" t="s">
        <v>455</v>
      </c>
      <c r="D88" s="23" t="n">
        <v>9072</v>
      </c>
      <c r="E88" s="23" t="n">
        <v>3087.6</v>
      </c>
      <c r="F88" s="23" t="n">
        <f aca="false">D88-E88</f>
        <v>5984.4</v>
      </c>
      <c r="G88" s="24" t="n">
        <f aca="false">IF(E88&gt;0,D88/E88-1,"")</f>
        <v>1.93820443062573</v>
      </c>
      <c r="H88" s="3" t="str">
        <f aca="false">IF(MAX(D88,E88)&lt;Parametros!$B$16,"",IF(E88=0,"PIDE SIN FCST",IF(ABS(G88)&gt;Parametros!$B$14,IF(G88&gt;0,"SOBRE FCST","BAJO FCST"),"")))</f>
        <v>SOBRE FCST</v>
      </c>
    </row>
    <row r="89" customFormat="false" ht="15" hidden="false" customHeight="false" outlineLevel="0" collapsed="false">
      <c r="A89" s="3" t="n">
        <v>30000325</v>
      </c>
      <c r="B89" s="3" t="s">
        <v>189</v>
      </c>
      <c r="C89" s="3" t="s">
        <v>453</v>
      </c>
      <c r="D89" s="23" t="n">
        <v>20952</v>
      </c>
      <c r="E89" s="23" t="n">
        <v>15188.4724096811</v>
      </c>
      <c r="F89" s="23" t="n">
        <f aca="false">D89-E89</f>
        <v>5763.52759031891</v>
      </c>
      <c r="G89" s="24" t="n">
        <f aca="false">IF(E89&gt;0,D89/E89-1,"")</f>
        <v>0.379467232441707</v>
      </c>
      <c r="H89" s="3" t="str">
        <f aca="false">IF(MAX(D89,E89)&lt;Parametros!$B$16,"",IF(E89=0,"PIDE SIN FCST",IF(ABS(G89)&gt;Parametros!$B$14,IF(G89&gt;0,"SOBRE FCST","BAJO FCST"),"")))</f>
        <v>SOBRE FCST</v>
      </c>
    </row>
    <row r="90" customFormat="false" ht="15" hidden="false" customHeight="false" outlineLevel="0" collapsed="false">
      <c r="A90" s="3" t="n">
        <v>30001977</v>
      </c>
      <c r="B90" s="3" t="s">
        <v>220</v>
      </c>
      <c r="C90" s="3" t="s">
        <v>454</v>
      </c>
      <c r="D90" s="23" t="n">
        <v>16740</v>
      </c>
      <c r="E90" s="23" t="n">
        <v>11000</v>
      </c>
      <c r="F90" s="23" t="n">
        <f aca="false">D90-E90</f>
        <v>5740</v>
      </c>
      <c r="G90" s="24" t="n">
        <f aca="false">IF(E90&gt;0,D90/E90-1,"")</f>
        <v>0.521818181818182</v>
      </c>
      <c r="H90" s="3" t="str">
        <f aca="false">IF(MAX(D90,E90)&lt;Parametros!$B$16,"",IF(E90=0,"PIDE SIN FCST",IF(ABS(G90)&gt;Parametros!$B$14,IF(G90&gt;0,"SOBRE FCST","BAJO FCST"),"")))</f>
        <v>SOBRE FCST</v>
      </c>
    </row>
    <row r="91" customFormat="false" ht="15" hidden="false" customHeight="false" outlineLevel="0" collapsed="false">
      <c r="A91" s="3" t="n">
        <v>30000254</v>
      </c>
      <c r="B91" s="3" t="s">
        <v>212</v>
      </c>
      <c r="C91" s="3" t="s">
        <v>448</v>
      </c>
      <c r="D91" s="23" t="n">
        <v>8574</v>
      </c>
      <c r="E91" s="23" t="n">
        <v>14301.0116666667</v>
      </c>
      <c r="F91" s="23" t="n">
        <f aca="false">D91-E91</f>
        <v>-5727.01166666667</v>
      </c>
      <c r="G91" s="24" t="n">
        <f aca="false">IF(E91&gt;0,D91/E91-1,"")</f>
        <v>-0.400461995287746</v>
      </c>
      <c r="H91" s="3" t="str">
        <f aca="false">IF(MAX(D91,E91)&lt;Parametros!$B$16,"",IF(E91=0,"PIDE SIN FCST",IF(ABS(G91)&gt;Parametros!$B$14,IF(G91&gt;0,"SOBRE FCST","BAJO FCST"),"")))</f>
        <v>BAJO FCST</v>
      </c>
    </row>
    <row r="92" customFormat="false" ht="15" hidden="false" customHeight="false" outlineLevel="0" collapsed="false">
      <c r="A92" s="3" t="n">
        <v>30002315</v>
      </c>
      <c r="B92" s="3" t="s">
        <v>208</v>
      </c>
      <c r="C92" s="3" t="s">
        <v>450</v>
      </c>
      <c r="D92" s="23" t="n">
        <v>24156</v>
      </c>
      <c r="E92" s="23" t="n">
        <v>18500</v>
      </c>
      <c r="F92" s="23" t="n">
        <f aca="false">D92-E92</f>
        <v>5656</v>
      </c>
      <c r="G92" s="24" t="n">
        <f aca="false">IF(E92&gt;0,D92/E92-1,"")</f>
        <v>0.30572972972973</v>
      </c>
      <c r="H92" s="3" t="str">
        <f aca="false">IF(MAX(D92,E92)&lt;Parametros!$B$16,"",IF(E92=0,"PIDE SIN FCST",IF(ABS(G92)&gt;Parametros!$B$14,IF(G92&gt;0,"SOBRE FCST","BAJO FCST"),"")))</f>
        <v>SOBRE FCST</v>
      </c>
    </row>
    <row r="93" customFormat="false" ht="15" hidden="false" customHeight="false" outlineLevel="0" collapsed="false">
      <c r="A93" s="3" t="n">
        <v>30001715</v>
      </c>
      <c r="B93" s="3" t="s">
        <v>228</v>
      </c>
      <c r="C93" s="3" t="s">
        <v>455</v>
      </c>
      <c r="D93" s="23" t="n">
        <v>7600</v>
      </c>
      <c r="E93" s="23" t="n">
        <v>13200</v>
      </c>
      <c r="F93" s="23" t="n">
        <f aca="false">D93-E93</f>
        <v>-5600</v>
      </c>
      <c r="G93" s="24" t="n">
        <f aca="false">IF(E93&gt;0,D93/E93-1,"")</f>
        <v>-0.424242424242424</v>
      </c>
      <c r="H93" s="3" t="str">
        <f aca="false">IF(MAX(D93,E93)&lt;Parametros!$B$16,"",IF(E93=0,"PIDE SIN FCST",IF(ABS(G93)&gt;Parametros!$B$14,IF(G93&gt;0,"SOBRE FCST","BAJO FCST"),"")))</f>
        <v>BAJO FCST</v>
      </c>
    </row>
    <row r="94" customFormat="false" ht="15" hidden="false" customHeight="false" outlineLevel="0" collapsed="false">
      <c r="A94" s="3" t="n">
        <v>30001684</v>
      </c>
      <c r="B94" s="3" t="s">
        <v>213</v>
      </c>
      <c r="C94" s="3" t="s">
        <v>455</v>
      </c>
      <c r="D94" s="23" t="n">
        <v>23910</v>
      </c>
      <c r="E94" s="23" t="n">
        <v>18500</v>
      </c>
      <c r="F94" s="23" t="n">
        <f aca="false">D94-E94</f>
        <v>5410</v>
      </c>
      <c r="G94" s="24" t="n">
        <f aca="false">IF(E94&gt;0,D94/E94-1,"")</f>
        <v>0.292432432432432</v>
      </c>
      <c r="H94" s="3" t="str">
        <f aca="false">IF(MAX(D94,E94)&lt;Parametros!$B$16,"",IF(E94=0,"PIDE SIN FCST",IF(ABS(G94)&gt;Parametros!$B$14,IF(G94&gt;0,"SOBRE FCST","BAJO FCST"),"")))</f>
        <v>SOBRE FCST</v>
      </c>
    </row>
    <row r="95" customFormat="false" ht="15" hidden="false" customHeight="false" outlineLevel="0" collapsed="false">
      <c r="A95" s="3" t="n">
        <v>30002099</v>
      </c>
      <c r="B95" s="3" t="s">
        <v>201</v>
      </c>
      <c r="C95" s="3" t="s">
        <v>453</v>
      </c>
      <c r="D95" s="23" t="n">
        <v>7122</v>
      </c>
      <c r="E95" s="23" t="n">
        <v>12509.7</v>
      </c>
      <c r="F95" s="23" t="n">
        <f aca="false">D95-E95</f>
        <v>-5387.7</v>
      </c>
      <c r="G95" s="24" t="n">
        <f aca="false">IF(E95&gt;0,D95/E95-1,"")</f>
        <v>-0.430681790930238</v>
      </c>
      <c r="H95" s="3" t="str">
        <f aca="false">IF(MAX(D95,E95)&lt;Parametros!$B$16,"",IF(E95=0,"PIDE SIN FCST",IF(ABS(G95)&gt;Parametros!$B$14,IF(G95&gt;0,"SOBRE FCST","BAJO FCST"),"")))</f>
        <v>BAJO FCST</v>
      </c>
    </row>
    <row r="96" customFormat="false" ht="15" hidden="false" customHeight="false" outlineLevel="0" collapsed="false">
      <c r="A96" s="3" t="n">
        <v>30000360</v>
      </c>
      <c r="B96" s="3" t="s">
        <v>245</v>
      </c>
      <c r="C96" s="3" t="s">
        <v>448</v>
      </c>
      <c r="D96" s="23" t="n">
        <v>8808</v>
      </c>
      <c r="E96" s="23" t="n">
        <v>3490.75</v>
      </c>
      <c r="F96" s="23" t="n">
        <f aca="false">D96-E96</f>
        <v>5317.25</v>
      </c>
      <c r="G96" s="24" t="n">
        <f aca="false">IF(E96&gt;0,D96/E96-1,"")</f>
        <v>1.52323999140586</v>
      </c>
      <c r="H96" s="3" t="str">
        <f aca="false">IF(MAX(D96,E96)&lt;Parametros!$B$16,"",IF(E96=0,"PIDE SIN FCST",IF(ABS(G96)&gt;Parametros!$B$14,IF(G96&gt;0,"SOBRE FCST","BAJO FCST"),"")))</f>
        <v>SOBRE FCST</v>
      </c>
    </row>
    <row r="97" customFormat="false" ht="15" hidden="false" customHeight="false" outlineLevel="0" collapsed="false">
      <c r="A97" s="3" t="n">
        <v>30000256</v>
      </c>
      <c r="B97" s="3" t="s">
        <v>195</v>
      </c>
      <c r="C97" s="3" t="s">
        <v>453</v>
      </c>
      <c r="D97" s="23" t="n">
        <v>13170</v>
      </c>
      <c r="E97" s="23" t="n">
        <v>18469</v>
      </c>
      <c r="F97" s="23" t="n">
        <f aca="false">D97-E97</f>
        <v>-5299</v>
      </c>
      <c r="G97" s="24" t="n">
        <f aca="false">IF(E97&gt;0,D97/E97-1,"")</f>
        <v>-0.28691320591261</v>
      </c>
      <c r="H97" s="3" t="str">
        <f aca="false">IF(MAX(D97,E97)&lt;Parametros!$B$16,"",IF(E97=0,"PIDE SIN FCST",IF(ABS(G97)&gt;Parametros!$B$14,IF(G97&gt;0,"SOBRE FCST","BAJO FCST"),"")))</f>
        <v>BAJO FCST</v>
      </c>
    </row>
    <row r="98" customFormat="false" ht="15" hidden="false" customHeight="false" outlineLevel="0" collapsed="false">
      <c r="A98" s="3" t="n">
        <v>30000254</v>
      </c>
      <c r="B98" s="3" t="s">
        <v>212</v>
      </c>
      <c r="C98" s="3" t="s">
        <v>455</v>
      </c>
      <c r="D98" s="23" t="n">
        <v>14286</v>
      </c>
      <c r="E98" s="23" t="n">
        <v>9100</v>
      </c>
      <c r="F98" s="23" t="n">
        <f aca="false">D98-E98</f>
        <v>5186</v>
      </c>
      <c r="G98" s="24" t="n">
        <f aca="false">IF(E98&gt;0,D98/E98-1,"")</f>
        <v>0.56989010989011</v>
      </c>
      <c r="H98" s="3" t="str">
        <f aca="false">IF(MAX(D98,E98)&lt;Parametros!$B$16,"",IF(E98=0,"PIDE SIN FCST",IF(ABS(G98)&gt;Parametros!$B$14,IF(G98&gt;0,"SOBRE FCST","BAJO FCST"),"")))</f>
        <v>SOBRE FCST</v>
      </c>
    </row>
    <row r="99" customFormat="false" ht="15" hidden="false" customHeight="false" outlineLevel="0" collapsed="false">
      <c r="A99" s="3" t="n">
        <v>30002186</v>
      </c>
      <c r="B99" s="3" t="s">
        <v>297</v>
      </c>
      <c r="C99" s="3" t="s">
        <v>455</v>
      </c>
      <c r="D99" s="23" t="n">
        <v>1825.05</v>
      </c>
      <c r="E99" s="23" t="n">
        <v>7000</v>
      </c>
      <c r="F99" s="23" t="n">
        <f aca="false">D99-E99</f>
        <v>-5174.95</v>
      </c>
      <c r="G99" s="24" t="n">
        <f aca="false">IF(E99&gt;0,D99/E99-1,"")</f>
        <v>-0.739278571428572</v>
      </c>
      <c r="H99" s="3" t="str">
        <f aca="false">IF(MAX(D99,E99)&lt;Parametros!$B$16,"",IF(E99=0,"PIDE SIN FCST",IF(ABS(G99)&gt;Parametros!$B$14,IF(G99&gt;0,"SOBRE FCST","BAJO FCST"),"")))</f>
        <v>BAJO FCST</v>
      </c>
    </row>
    <row r="100" customFormat="false" ht="15" hidden="false" customHeight="false" outlineLevel="0" collapsed="false">
      <c r="A100" s="3" t="n">
        <v>30000516</v>
      </c>
      <c r="B100" s="3" t="s">
        <v>216</v>
      </c>
      <c r="C100" s="3" t="s">
        <v>447</v>
      </c>
      <c r="D100" s="23" t="n">
        <v>2040</v>
      </c>
      <c r="E100" s="23" t="n">
        <v>7209.7306122449</v>
      </c>
      <c r="F100" s="23" t="n">
        <f aca="false">D100-E100</f>
        <v>-5169.7306122449</v>
      </c>
      <c r="G100" s="24" t="n">
        <f aca="false">IF(E100&gt;0,D100/E100-1,"")</f>
        <v>-0.717049067473437</v>
      </c>
      <c r="H100" s="3" t="str">
        <f aca="false">IF(MAX(D100,E100)&lt;Parametros!$B$16,"",IF(E100=0,"PIDE SIN FCST",IF(ABS(G100)&gt;Parametros!$B$14,IF(G100&gt;0,"SOBRE FCST","BAJO FCST"),"")))</f>
        <v>BAJO FCST</v>
      </c>
    </row>
    <row r="101" customFormat="false" ht="15" hidden="false" customHeight="false" outlineLevel="0" collapsed="false">
      <c r="A101" s="3" t="n">
        <v>30000255</v>
      </c>
      <c r="B101" s="3" t="s">
        <v>193</v>
      </c>
      <c r="C101" s="3" t="s">
        <v>453</v>
      </c>
      <c r="D101" s="23" t="n">
        <v>15822</v>
      </c>
      <c r="E101" s="23" t="n">
        <v>20954.1</v>
      </c>
      <c r="F101" s="23" t="n">
        <f aca="false">D101-E101</f>
        <v>-5132.1</v>
      </c>
      <c r="G101" s="24" t="n">
        <f aca="false">IF(E101&gt;0,D101/E101-1,"")</f>
        <v>-0.244921041705442</v>
      </c>
      <c r="H101" s="3" t="str">
        <f aca="false">IF(MAX(D101,E101)&lt;Parametros!$B$16,"",IF(E101=0,"PIDE SIN FCST",IF(ABS(G101)&gt;Parametros!$B$14,IF(G101&gt;0,"SOBRE FCST","BAJO FCST"),"")))</f>
        <v>BAJO FCST</v>
      </c>
    </row>
    <row r="102" customFormat="false" ht="15" hidden="false" customHeight="false" outlineLevel="0" collapsed="false">
      <c r="A102" s="3" t="n">
        <v>30002099</v>
      </c>
      <c r="B102" s="3" t="s">
        <v>201</v>
      </c>
      <c r="C102" s="3" t="s">
        <v>449</v>
      </c>
      <c r="D102" s="23" t="n">
        <v>51840</v>
      </c>
      <c r="E102" s="23" t="n">
        <v>46728</v>
      </c>
      <c r="F102" s="23" t="n">
        <f aca="false">D102-E102</f>
        <v>5112.00000000001</v>
      </c>
      <c r="G102" s="24" t="n">
        <f aca="false">IF(E102&gt;0,D102/E102-1,"")</f>
        <v>0.109399075500771</v>
      </c>
      <c r="H102" s="3" t="str">
        <f aca="false">IF(MAX(D102,E102)&lt;Parametros!$B$16,"",IF(E102=0,"PIDE SIN FCST",IF(ABS(G102)&gt;Parametros!$B$14,IF(G102&gt;0,"SOBRE FCST","BAJO FCST"),"")))</f>
        <v/>
      </c>
    </row>
    <row r="103" customFormat="false" ht="15" hidden="false" customHeight="false" outlineLevel="0" collapsed="false">
      <c r="A103" s="3" t="n">
        <v>30000516</v>
      </c>
      <c r="B103" s="3" t="s">
        <v>216</v>
      </c>
      <c r="C103" s="3" t="s">
        <v>450</v>
      </c>
      <c r="D103" s="23" t="n">
        <v>16668</v>
      </c>
      <c r="E103" s="23" t="n">
        <v>11606.4056472389</v>
      </c>
      <c r="F103" s="23" t="n">
        <f aca="false">D103-E103</f>
        <v>5061.59435276108</v>
      </c>
      <c r="G103" s="24" t="n">
        <f aca="false">IF(E103&gt;0,D103/E103-1,"")</f>
        <v>0.436103519608174</v>
      </c>
      <c r="H103" s="3" t="str">
        <f aca="false">IF(MAX(D103,E103)&lt;Parametros!$B$16,"",IF(E103=0,"PIDE SIN FCST",IF(ABS(G103)&gt;Parametros!$B$14,IF(G103&gt;0,"SOBRE FCST","BAJO FCST"),"")))</f>
        <v>SOBRE FCST</v>
      </c>
    </row>
    <row r="104" customFormat="false" ht="15" hidden="false" customHeight="false" outlineLevel="0" collapsed="false">
      <c r="A104" s="3" t="n">
        <v>30000257</v>
      </c>
      <c r="B104" s="3" t="s">
        <v>197</v>
      </c>
      <c r="C104" s="3" t="s">
        <v>453</v>
      </c>
      <c r="D104" s="23" t="n">
        <v>12306</v>
      </c>
      <c r="E104" s="23" t="n">
        <v>17345.5</v>
      </c>
      <c r="F104" s="23" t="n">
        <f aca="false">D104-E104</f>
        <v>-5039.5</v>
      </c>
      <c r="G104" s="24" t="n">
        <f aca="false">IF(E104&gt;0,D104/E104-1,"")</f>
        <v>-0.290536450376178</v>
      </c>
      <c r="H104" s="3" t="str">
        <f aca="false">IF(MAX(D104,E104)&lt;Parametros!$B$16,"",IF(E104=0,"PIDE SIN FCST",IF(ABS(G104)&gt;Parametros!$B$14,IF(G104&gt;0,"SOBRE FCST","BAJO FCST"),"")))</f>
        <v>BAJO FCST</v>
      </c>
    </row>
    <row r="105" customFormat="false" ht="15" hidden="false" customHeight="false" outlineLevel="0" collapsed="false">
      <c r="A105" s="3" t="n">
        <v>30000327</v>
      </c>
      <c r="B105" s="3" t="s">
        <v>259</v>
      </c>
      <c r="C105" s="3" t="s">
        <v>455</v>
      </c>
      <c r="D105" s="23" t="n">
        <v>10200</v>
      </c>
      <c r="E105" s="23" t="n">
        <v>5177.71336784409</v>
      </c>
      <c r="F105" s="23" t="n">
        <f aca="false">D105-E105</f>
        <v>5022.28663215591</v>
      </c>
      <c r="G105" s="24" t="n">
        <f aca="false">IF(E105&gt;0,D105/E105-1,"")</f>
        <v>0.969981587498942</v>
      </c>
      <c r="H105" s="3" t="str">
        <f aca="false">IF(MAX(D105,E105)&lt;Parametros!$B$16,"",IF(E105=0,"PIDE SIN FCST",IF(ABS(G105)&gt;Parametros!$B$14,IF(G105&gt;0,"SOBRE FCST","BAJO FCST"),"")))</f>
        <v>SOBRE FCST</v>
      </c>
    </row>
    <row r="106" customFormat="false" ht="15" hidden="false" customHeight="false" outlineLevel="0" collapsed="false">
      <c r="A106" s="3" t="n">
        <v>30002077</v>
      </c>
      <c r="B106" s="3" t="s">
        <v>240</v>
      </c>
      <c r="C106" s="3" t="s">
        <v>455</v>
      </c>
      <c r="D106" s="23" t="n">
        <v>13104</v>
      </c>
      <c r="E106" s="23" t="n">
        <v>8145.6</v>
      </c>
      <c r="F106" s="23" t="n">
        <f aca="false">D106-E106</f>
        <v>4958.4</v>
      </c>
      <c r="G106" s="24" t="n">
        <f aca="false">IF(E106&gt;0,D106/E106-1,"")</f>
        <v>0.608721272834414</v>
      </c>
      <c r="H106" s="3" t="str">
        <f aca="false">IF(MAX(D106,E106)&lt;Parametros!$B$16,"",IF(E106=0,"PIDE SIN FCST",IF(ABS(G106)&gt;Parametros!$B$14,IF(G106&gt;0,"SOBRE FCST","BAJO FCST"),"")))</f>
        <v>SOBRE FCST</v>
      </c>
    </row>
    <row r="107" customFormat="false" ht="15" hidden="false" customHeight="false" outlineLevel="0" collapsed="false">
      <c r="A107" s="3" t="n">
        <v>30001895</v>
      </c>
      <c r="B107" s="3" t="s">
        <v>234</v>
      </c>
      <c r="C107" s="3" t="s">
        <v>455</v>
      </c>
      <c r="D107" s="23" t="n">
        <v>4560</v>
      </c>
      <c r="E107" s="23" t="n">
        <v>9500</v>
      </c>
      <c r="F107" s="23" t="n">
        <f aca="false">D107-E107</f>
        <v>-4940</v>
      </c>
      <c r="G107" s="24" t="n">
        <f aca="false">IF(E107&gt;0,D107/E107-1,"")</f>
        <v>-0.52</v>
      </c>
      <c r="H107" s="3" t="str">
        <f aca="false">IF(MAX(D107,E107)&lt;Parametros!$B$16,"",IF(E107=0,"PIDE SIN FCST",IF(ABS(G107)&gt;Parametros!$B$14,IF(G107&gt;0,"SOBRE FCST","BAJO FCST"),"")))</f>
        <v>BAJO FCST</v>
      </c>
    </row>
    <row r="108" customFormat="false" ht="15" hidden="false" customHeight="false" outlineLevel="0" collapsed="false">
      <c r="A108" s="3" t="n">
        <v>30000255</v>
      </c>
      <c r="B108" s="3" t="s">
        <v>193</v>
      </c>
      <c r="C108" s="3" t="s">
        <v>452</v>
      </c>
      <c r="D108" s="23" t="n">
        <v>6852</v>
      </c>
      <c r="E108" s="23" t="n">
        <v>11694.6402129168</v>
      </c>
      <c r="F108" s="23" t="n">
        <f aca="false">D108-E108</f>
        <v>-4842.64021291678</v>
      </c>
      <c r="G108" s="24" t="n">
        <f aca="false">IF(E108&gt;0,D108/E108-1,"")</f>
        <v>-0.414090568392866</v>
      </c>
      <c r="H108" s="3" t="str">
        <f aca="false">IF(MAX(D108,E108)&lt;Parametros!$B$16,"",IF(E108=0,"PIDE SIN FCST",IF(ABS(G108)&gt;Parametros!$B$14,IF(G108&gt;0,"SOBRE FCST","BAJO FCST"),"")))</f>
        <v>BAJO FCST</v>
      </c>
    </row>
    <row r="109" customFormat="false" ht="15" hidden="false" customHeight="false" outlineLevel="0" collapsed="false">
      <c r="A109" s="3" t="n">
        <v>30000400</v>
      </c>
      <c r="B109" s="3" t="s">
        <v>199</v>
      </c>
      <c r="C109" s="3" t="s">
        <v>448</v>
      </c>
      <c r="D109" s="23" t="n">
        <v>12774</v>
      </c>
      <c r="E109" s="23" t="n">
        <v>17603.4083333333</v>
      </c>
      <c r="F109" s="23" t="n">
        <f aca="false">D109-E109</f>
        <v>-4829.40833333333</v>
      </c>
      <c r="G109" s="24" t="n">
        <f aca="false">IF(E109&gt;0,D109/E109-1,"")</f>
        <v>-0.274345072379449</v>
      </c>
      <c r="H109" s="3" t="str">
        <f aca="false">IF(MAX(D109,E109)&lt;Parametros!$B$16,"",IF(E109=0,"PIDE SIN FCST",IF(ABS(G109)&gt;Parametros!$B$14,IF(G109&gt;0,"SOBRE FCST","BAJO FCST"),"")))</f>
        <v>BAJO FCST</v>
      </c>
    </row>
    <row r="110" customFormat="false" ht="15" hidden="false" customHeight="false" outlineLevel="0" collapsed="false">
      <c r="A110" s="3" t="n">
        <v>30000523</v>
      </c>
      <c r="B110" s="3" t="s">
        <v>194</v>
      </c>
      <c r="C110" s="3" t="s">
        <v>455</v>
      </c>
      <c r="D110" s="23" t="n">
        <v>29232</v>
      </c>
      <c r="E110" s="23" t="n">
        <v>33968</v>
      </c>
      <c r="F110" s="23" t="n">
        <f aca="false">D110-E110</f>
        <v>-4736</v>
      </c>
      <c r="G110" s="24" t="n">
        <f aca="false">IF(E110&gt;0,D110/E110-1,"")</f>
        <v>-0.13942534149788</v>
      </c>
      <c r="H110" s="3" t="str">
        <f aca="false">IF(MAX(D110,E110)&lt;Parametros!$B$16,"",IF(E110=0,"PIDE SIN FCST",IF(ABS(G110)&gt;Parametros!$B$14,IF(G110&gt;0,"SOBRE FCST","BAJO FCST"),"")))</f>
        <v/>
      </c>
    </row>
    <row r="111" customFormat="false" ht="15" hidden="false" customHeight="false" outlineLevel="0" collapsed="false">
      <c r="A111" s="3" t="n">
        <v>30000384</v>
      </c>
      <c r="B111" s="3" t="s">
        <v>210</v>
      </c>
      <c r="C111" s="3" t="s">
        <v>454</v>
      </c>
      <c r="D111" s="23" t="n">
        <v>8568</v>
      </c>
      <c r="E111" s="23" t="n">
        <v>4050</v>
      </c>
      <c r="F111" s="23" t="n">
        <f aca="false">D111-E111</f>
        <v>4518</v>
      </c>
      <c r="G111" s="24" t="n">
        <f aca="false">IF(E111&gt;0,D111/E111-1,"")</f>
        <v>1.11555555555556</v>
      </c>
      <c r="H111" s="3" t="str">
        <f aca="false">IF(MAX(D111,E111)&lt;Parametros!$B$16,"",IF(E111=0,"PIDE SIN FCST",IF(ABS(G111)&gt;Parametros!$B$14,IF(G111&gt;0,"SOBRE FCST","BAJO FCST"),"")))</f>
        <v>SOBRE FCST</v>
      </c>
    </row>
    <row r="112" customFormat="false" ht="15" hidden="false" customHeight="false" outlineLevel="0" collapsed="false">
      <c r="A112" s="3" t="n">
        <v>30000360</v>
      </c>
      <c r="B112" s="3" t="s">
        <v>245</v>
      </c>
      <c r="C112" s="3" t="s">
        <v>450</v>
      </c>
      <c r="D112" s="23" t="n">
        <v>4428</v>
      </c>
      <c r="E112" s="23" t="n">
        <v>8858.50814768012</v>
      </c>
      <c r="F112" s="23" t="n">
        <f aca="false">D112-E112</f>
        <v>-4430.50814768012</v>
      </c>
      <c r="G112" s="24" t="n">
        <f aca="false">IF(E112&gt;0,D112/E112-1,"")</f>
        <v>-0.500141567159973</v>
      </c>
      <c r="H112" s="3" t="str">
        <f aca="false">IF(MAX(D112,E112)&lt;Parametros!$B$16,"",IF(E112=0,"PIDE SIN FCST",IF(ABS(G112)&gt;Parametros!$B$14,IF(G112&gt;0,"SOBRE FCST","BAJO FCST"),"")))</f>
        <v>BAJO FCST</v>
      </c>
    </row>
    <row r="113" customFormat="false" ht="15" hidden="false" customHeight="false" outlineLevel="0" collapsed="false">
      <c r="A113" s="3" t="n">
        <v>30000244</v>
      </c>
      <c r="B113" s="3" t="s">
        <v>253</v>
      </c>
      <c r="C113" s="3" t="s">
        <v>448</v>
      </c>
      <c r="D113" s="23" t="n">
        <v>10608</v>
      </c>
      <c r="E113" s="23" t="n">
        <v>15031.45</v>
      </c>
      <c r="F113" s="23" t="n">
        <f aca="false">D113-E113</f>
        <v>-4423.45</v>
      </c>
      <c r="G113" s="24" t="n">
        <f aca="false">IF(E113&gt;0,D113/E113-1,"")</f>
        <v>-0.294279660312212</v>
      </c>
      <c r="H113" s="3" t="str">
        <f aca="false">IF(MAX(D113,E113)&lt;Parametros!$B$16,"",IF(E113=0,"PIDE SIN FCST",IF(ABS(G113)&gt;Parametros!$B$14,IF(G113&gt;0,"SOBRE FCST","BAJO FCST"),"")))</f>
        <v>BAJO FCST</v>
      </c>
    </row>
    <row r="114" customFormat="false" ht="15" hidden="false" customHeight="false" outlineLevel="0" collapsed="false">
      <c r="A114" s="3" t="n">
        <v>30001992</v>
      </c>
      <c r="B114" s="3" t="s">
        <v>269</v>
      </c>
      <c r="C114" s="3" t="s">
        <v>455</v>
      </c>
      <c r="D114" s="23" t="n">
        <v>4080</v>
      </c>
      <c r="E114" s="23" t="n">
        <v>8473.71453243654</v>
      </c>
      <c r="F114" s="23" t="n">
        <f aca="false">D114-E114</f>
        <v>-4393.71453243654</v>
      </c>
      <c r="G114" s="24" t="n">
        <f aca="false">IF(E114&gt;0,D114/E114-1,"")</f>
        <v>-0.518511039712022</v>
      </c>
      <c r="H114" s="3" t="str">
        <f aca="false">IF(MAX(D114,E114)&lt;Parametros!$B$16,"",IF(E114=0,"PIDE SIN FCST",IF(ABS(G114)&gt;Parametros!$B$14,IF(G114&gt;0,"SOBRE FCST","BAJO FCST"),"")))</f>
        <v>BAJO FCST</v>
      </c>
    </row>
    <row r="115" customFormat="false" ht="15" hidden="false" customHeight="false" outlineLevel="0" collapsed="false">
      <c r="A115" s="3" t="n">
        <v>30000258</v>
      </c>
      <c r="B115" s="3" t="s">
        <v>196</v>
      </c>
      <c r="C115" s="3" t="s">
        <v>452</v>
      </c>
      <c r="D115" s="23" t="n">
        <v>6120</v>
      </c>
      <c r="E115" s="23" t="n">
        <v>10501.4716038716</v>
      </c>
      <c r="F115" s="23" t="n">
        <f aca="false">D115-E115</f>
        <v>-4381.47160387161</v>
      </c>
      <c r="G115" s="24" t="n">
        <f aca="false">IF(E115&gt;0,D115/E115-1,"")</f>
        <v>-0.41722453472676</v>
      </c>
      <c r="H115" s="3" t="str">
        <f aca="false">IF(MAX(D115,E115)&lt;Parametros!$B$16,"",IF(E115=0,"PIDE SIN FCST",IF(ABS(G115)&gt;Parametros!$B$14,IF(G115&gt;0,"SOBRE FCST","BAJO FCST"),"")))</f>
        <v>BAJO FCST</v>
      </c>
    </row>
    <row r="116" customFormat="false" ht="15" hidden="false" customHeight="false" outlineLevel="0" collapsed="false">
      <c r="A116" s="3" t="n">
        <v>30000257</v>
      </c>
      <c r="B116" s="3" t="s">
        <v>197</v>
      </c>
      <c r="C116" s="3" t="s">
        <v>454</v>
      </c>
      <c r="D116" s="23" t="n">
        <v>6048</v>
      </c>
      <c r="E116" s="23" t="n">
        <v>10427.5</v>
      </c>
      <c r="F116" s="23" t="n">
        <f aca="false">D116-E116</f>
        <v>-4379.5</v>
      </c>
      <c r="G116" s="24" t="n">
        <f aca="false">IF(E116&gt;0,D116/E116-1,"")</f>
        <v>-0.419995204986814</v>
      </c>
      <c r="H116" s="3" t="str">
        <f aca="false">IF(MAX(D116,E116)&lt;Parametros!$B$16,"",IF(E116=0,"PIDE SIN FCST",IF(ABS(G116)&gt;Parametros!$B$14,IF(G116&gt;0,"SOBRE FCST","BAJO FCST"),"")))</f>
        <v>BAJO FCST</v>
      </c>
    </row>
    <row r="117" customFormat="false" ht="15" hidden="false" customHeight="false" outlineLevel="0" collapsed="false">
      <c r="A117" s="3" t="n">
        <v>30000347</v>
      </c>
      <c r="B117" s="3" t="s">
        <v>227</v>
      </c>
      <c r="C117" s="3" t="s">
        <v>448</v>
      </c>
      <c r="D117" s="23" t="n">
        <v>6630</v>
      </c>
      <c r="E117" s="23" t="n">
        <v>10993.7666666667</v>
      </c>
      <c r="F117" s="23" t="n">
        <f aca="false">D117-E117</f>
        <v>-4363.76666666667</v>
      </c>
      <c r="G117" s="24" t="n">
        <f aca="false">IF(E117&gt;0,D117/E117-1,"")</f>
        <v>-0.396930988166022</v>
      </c>
      <c r="H117" s="3" t="str">
        <f aca="false">IF(MAX(D117,E117)&lt;Parametros!$B$16,"",IF(E117=0,"PIDE SIN FCST",IF(ABS(G117)&gt;Parametros!$B$14,IF(G117&gt;0,"SOBRE FCST","BAJO FCST"),"")))</f>
        <v>BAJO FCST</v>
      </c>
    </row>
    <row r="118" customFormat="false" ht="15" hidden="false" customHeight="false" outlineLevel="0" collapsed="false">
      <c r="A118" s="3" t="n">
        <v>30000006</v>
      </c>
      <c r="B118" s="3" t="s">
        <v>252</v>
      </c>
      <c r="C118" s="3" t="s">
        <v>455</v>
      </c>
      <c r="D118" s="23" t="n">
        <v>11088</v>
      </c>
      <c r="E118" s="23" t="n">
        <v>6727</v>
      </c>
      <c r="F118" s="23" t="n">
        <f aca="false">D118-E118</f>
        <v>4361</v>
      </c>
      <c r="G118" s="24" t="n">
        <f aca="false">IF(E118&gt;0,D118/E118-1,"")</f>
        <v>0.648283038501561</v>
      </c>
      <c r="H118" s="3" t="str">
        <f aca="false">IF(MAX(D118,E118)&lt;Parametros!$B$16,"",IF(E118=0,"PIDE SIN FCST",IF(ABS(G118)&gt;Parametros!$B$14,IF(G118&gt;0,"SOBRE FCST","BAJO FCST"),"")))</f>
        <v>SOBRE FCST</v>
      </c>
    </row>
    <row r="119" customFormat="false" ht="15" hidden="false" customHeight="false" outlineLevel="0" collapsed="false">
      <c r="A119" s="3" t="n">
        <v>30002177</v>
      </c>
      <c r="B119" s="3" t="s">
        <v>217</v>
      </c>
      <c r="C119" s="3" t="s">
        <v>448</v>
      </c>
      <c r="D119" s="23" t="n">
        <v>9457.6</v>
      </c>
      <c r="E119" s="23" t="n">
        <v>13815.8933333333</v>
      </c>
      <c r="F119" s="23" t="n">
        <f aca="false">D119-E119</f>
        <v>-4358.29333333333</v>
      </c>
      <c r="G119" s="24" t="n">
        <f aca="false">IF(E119&gt;0,D119/E119-1,"")</f>
        <v>-0.315455050801396</v>
      </c>
      <c r="H119" s="3" t="str">
        <f aca="false">IF(MAX(D119,E119)&lt;Parametros!$B$16,"",IF(E119=0,"PIDE SIN FCST",IF(ABS(G119)&gt;Parametros!$B$14,IF(G119&gt;0,"SOBRE FCST","BAJO FCST"),"")))</f>
        <v>BAJO FCST</v>
      </c>
    </row>
    <row r="120" customFormat="false" ht="15" hidden="false" customHeight="false" outlineLevel="0" collapsed="false">
      <c r="A120" s="3" t="n">
        <v>30002326</v>
      </c>
      <c r="B120" s="3" t="s">
        <v>278</v>
      </c>
      <c r="C120" s="3" t="s">
        <v>450</v>
      </c>
      <c r="D120" s="23" t="n">
        <v>10323</v>
      </c>
      <c r="E120" s="23" t="n">
        <v>6000</v>
      </c>
      <c r="F120" s="23" t="n">
        <f aca="false">D120-E120</f>
        <v>4323</v>
      </c>
      <c r="G120" s="24" t="n">
        <f aca="false">IF(E120&gt;0,D120/E120-1,"")</f>
        <v>0.7205</v>
      </c>
      <c r="H120" s="3" t="str">
        <f aca="false">IF(MAX(D120,E120)&lt;Parametros!$B$16,"",IF(E120=0,"PIDE SIN FCST",IF(ABS(G120)&gt;Parametros!$B$14,IF(G120&gt;0,"SOBRE FCST","BAJO FCST"),"")))</f>
        <v>SOBRE FCST</v>
      </c>
    </row>
    <row r="121" customFormat="false" ht="15" hidden="false" customHeight="false" outlineLevel="0" collapsed="false">
      <c r="A121" s="3" t="n">
        <v>30002180</v>
      </c>
      <c r="B121" s="3" t="s">
        <v>260</v>
      </c>
      <c r="C121" s="3" t="s">
        <v>448</v>
      </c>
      <c r="D121" s="23" t="n">
        <v>1715.7</v>
      </c>
      <c r="E121" s="23" t="n">
        <v>6028.11208333333</v>
      </c>
      <c r="F121" s="23" t="n">
        <f aca="false">D121-E121</f>
        <v>-4312.41208333333</v>
      </c>
      <c r="G121" s="24" t="n">
        <f aca="false">IF(E121&gt;0,D121/E121-1,"")</f>
        <v>-0.715383527001164</v>
      </c>
      <c r="H121" s="3" t="str">
        <f aca="false">IF(MAX(D121,E121)&lt;Parametros!$B$16,"",IF(E121=0,"PIDE SIN FCST",IF(ABS(G121)&gt;Parametros!$B$14,IF(G121&gt;0,"SOBRE FCST","BAJO FCST"),"")))</f>
        <v>BAJO FCST</v>
      </c>
    </row>
    <row r="122" customFormat="false" ht="15" hidden="false" customHeight="false" outlineLevel="0" collapsed="false">
      <c r="A122" s="3" t="n">
        <v>30001684</v>
      </c>
      <c r="B122" s="3" t="s">
        <v>213</v>
      </c>
      <c r="C122" s="3" t="s">
        <v>450</v>
      </c>
      <c r="D122" s="23" t="n">
        <v>14748</v>
      </c>
      <c r="E122" s="23" t="n">
        <v>19000</v>
      </c>
      <c r="F122" s="23" t="n">
        <f aca="false">D122-E122</f>
        <v>-4252</v>
      </c>
      <c r="G122" s="24" t="n">
        <f aca="false">IF(E122&gt;0,D122/E122-1,"")</f>
        <v>-0.223789473684211</v>
      </c>
      <c r="H122" s="3" t="str">
        <f aca="false">IF(MAX(D122,E122)&lt;Parametros!$B$16,"",IF(E122=0,"PIDE SIN FCST",IF(ABS(G122)&gt;Parametros!$B$14,IF(G122&gt;0,"SOBRE FCST","BAJO FCST"),"")))</f>
        <v>BAJO FCST</v>
      </c>
    </row>
    <row r="123" customFormat="false" ht="15" hidden="false" customHeight="false" outlineLevel="0" collapsed="false">
      <c r="A123" s="3" t="n">
        <v>30000256</v>
      </c>
      <c r="B123" s="3" t="s">
        <v>195</v>
      </c>
      <c r="C123" s="3" t="s">
        <v>452</v>
      </c>
      <c r="D123" s="23" t="n">
        <v>5598</v>
      </c>
      <c r="E123" s="23" t="n">
        <v>9849.75394737365</v>
      </c>
      <c r="F123" s="23" t="n">
        <f aca="false">D123-E123</f>
        <v>-4251.75394737365</v>
      </c>
      <c r="G123" s="24" t="n">
        <f aca="false">IF(E123&gt;0,D123/E123-1,"")</f>
        <v>-0.43166092981514</v>
      </c>
      <c r="H123" s="3" t="str">
        <f aca="false">IF(MAX(D123,E123)&lt;Parametros!$B$16,"",IF(E123=0,"PIDE SIN FCST",IF(ABS(G123)&gt;Parametros!$B$14,IF(G123&gt;0,"SOBRE FCST","BAJO FCST"),"")))</f>
        <v>BAJO FCST</v>
      </c>
    </row>
    <row r="124" customFormat="false" ht="15" hidden="false" customHeight="false" outlineLevel="0" collapsed="false">
      <c r="A124" s="3" t="n">
        <v>30000255</v>
      </c>
      <c r="B124" s="3" t="s">
        <v>193</v>
      </c>
      <c r="C124" s="3" t="s">
        <v>454</v>
      </c>
      <c r="D124" s="23" t="n">
        <v>11232</v>
      </c>
      <c r="E124" s="23" t="n">
        <v>15439</v>
      </c>
      <c r="F124" s="23" t="n">
        <f aca="false">D124-E124</f>
        <v>-4207</v>
      </c>
      <c r="G124" s="24" t="n">
        <f aca="false">IF(E124&gt;0,D124/E124-1,"")</f>
        <v>-0.272491741693115</v>
      </c>
      <c r="H124" s="3" t="str">
        <f aca="false">IF(MAX(D124,E124)&lt;Parametros!$B$16,"",IF(E124=0,"PIDE SIN FCST",IF(ABS(G124)&gt;Parametros!$B$14,IF(G124&gt;0,"SOBRE FCST","BAJO FCST"),"")))</f>
        <v>BAJO FCST</v>
      </c>
    </row>
    <row r="125" customFormat="false" ht="15" hidden="false" customHeight="false" outlineLevel="0" collapsed="false">
      <c r="A125" s="3" t="n">
        <v>30000010</v>
      </c>
      <c r="B125" s="3" t="s">
        <v>232</v>
      </c>
      <c r="C125" s="3" t="s">
        <v>455</v>
      </c>
      <c r="D125" s="23" t="n">
        <v>11088</v>
      </c>
      <c r="E125" s="23" t="n">
        <v>15273</v>
      </c>
      <c r="F125" s="23" t="n">
        <f aca="false">D125-E125</f>
        <v>-4185</v>
      </c>
      <c r="G125" s="24" t="n">
        <f aca="false">IF(E125&gt;0,D125/E125-1,"")</f>
        <v>-0.274012964054213</v>
      </c>
      <c r="H125" s="3" t="str">
        <f aca="false">IF(MAX(D125,E125)&lt;Parametros!$B$16,"",IF(E125=0,"PIDE SIN FCST",IF(ABS(G125)&gt;Parametros!$B$14,IF(G125&gt;0,"SOBRE FCST","BAJO FCST"),"")))</f>
        <v>BAJO FCST</v>
      </c>
    </row>
    <row r="126" customFormat="false" ht="15" hidden="false" customHeight="false" outlineLevel="0" collapsed="false">
      <c r="A126" s="3" t="n">
        <v>30002315</v>
      </c>
      <c r="B126" s="3" t="s">
        <v>208</v>
      </c>
      <c r="C126" s="3" t="s">
        <v>454</v>
      </c>
      <c r="D126" s="23" t="n">
        <v>6108</v>
      </c>
      <c r="E126" s="23" t="n">
        <v>2000</v>
      </c>
      <c r="F126" s="23" t="n">
        <f aca="false">D126-E126</f>
        <v>4108</v>
      </c>
      <c r="G126" s="24" t="n">
        <f aca="false">IF(E126&gt;0,D126/E126-1,"")</f>
        <v>2.054</v>
      </c>
      <c r="H126" s="3" t="str">
        <f aca="false">IF(MAX(D126,E126)&lt;Parametros!$B$16,"",IF(E126=0,"PIDE SIN FCST",IF(ABS(G126)&gt;Parametros!$B$14,IF(G126&gt;0,"SOBRE FCST","BAJO FCST"),"")))</f>
        <v>SOBRE FCST</v>
      </c>
    </row>
    <row r="127" customFormat="false" ht="15" hidden="false" customHeight="false" outlineLevel="0" collapsed="false">
      <c r="A127" s="3" t="n">
        <v>30002078</v>
      </c>
      <c r="B127" s="3" t="s">
        <v>233</v>
      </c>
      <c r="C127" s="3" t="s">
        <v>455</v>
      </c>
      <c r="D127" s="23" t="n">
        <v>16128</v>
      </c>
      <c r="E127" s="23" t="n">
        <v>12037.6</v>
      </c>
      <c r="F127" s="23" t="n">
        <f aca="false">D127-E127</f>
        <v>4090.4</v>
      </c>
      <c r="G127" s="24" t="n">
        <f aca="false">IF(E127&gt;0,D127/E127-1,"")</f>
        <v>0.339801953877849</v>
      </c>
      <c r="H127" s="3" t="str">
        <f aca="false">IF(MAX(D127,E127)&lt;Parametros!$B$16,"",IF(E127=0,"PIDE SIN FCST",IF(ABS(G127)&gt;Parametros!$B$14,IF(G127&gt;0,"SOBRE FCST","BAJO FCST"),"")))</f>
        <v>SOBRE FCST</v>
      </c>
    </row>
    <row r="128" customFormat="false" ht="15" hidden="false" customHeight="false" outlineLevel="0" collapsed="false">
      <c r="A128" s="3" t="n">
        <v>30000516</v>
      </c>
      <c r="B128" s="3" t="s">
        <v>216</v>
      </c>
      <c r="C128" s="3" t="s">
        <v>448</v>
      </c>
      <c r="D128" s="23" t="n">
        <v>5208</v>
      </c>
      <c r="E128" s="23" t="n">
        <v>9296.5</v>
      </c>
      <c r="F128" s="23" t="n">
        <f aca="false">D128-E128</f>
        <v>-4088.5</v>
      </c>
      <c r="G128" s="24" t="n">
        <f aca="false">IF(E128&gt;0,D128/E128-1,"")</f>
        <v>-0.439789167966439</v>
      </c>
      <c r="H128" s="3" t="str">
        <f aca="false">IF(MAX(D128,E128)&lt;Parametros!$B$16,"",IF(E128=0,"PIDE SIN FCST",IF(ABS(G128)&gt;Parametros!$B$14,IF(G128&gt;0,"SOBRE FCST","BAJO FCST"),"")))</f>
        <v>BAJO FCST</v>
      </c>
    </row>
    <row r="129" customFormat="false" ht="15" hidden="false" customHeight="false" outlineLevel="0" collapsed="false">
      <c r="A129" s="3" t="n">
        <v>30002065</v>
      </c>
      <c r="B129" s="3" t="s">
        <v>225</v>
      </c>
      <c r="C129" s="3" t="s">
        <v>451</v>
      </c>
      <c r="D129" s="23" t="n">
        <v>11388</v>
      </c>
      <c r="E129" s="23" t="n">
        <v>7300</v>
      </c>
      <c r="F129" s="23" t="n">
        <f aca="false">D129-E129</f>
        <v>4088</v>
      </c>
      <c r="G129" s="24" t="n">
        <f aca="false">IF(E129&gt;0,D129/E129-1,"")</f>
        <v>0.56</v>
      </c>
      <c r="H129" s="3" t="str">
        <f aca="false">IF(MAX(D129,E129)&lt;Parametros!$B$16,"",IF(E129=0,"PIDE SIN FCST",IF(ABS(G129)&gt;Parametros!$B$14,IF(G129&gt;0,"SOBRE FCST","BAJO FCST"),"")))</f>
        <v>SOBRE FCST</v>
      </c>
    </row>
    <row r="130" customFormat="false" ht="15" hidden="false" customHeight="false" outlineLevel="0" collapsed="false">
      <c r="A130" s="3" t="n">
        <v>30001988</v>
      </c>
      <c r="B130" s="3" t="s">
        <v>293</v>
      </c>
      <c r="C130" s="3" t="s">
        <v>454</v>
      </c>
      <c r="D130" s="23" t="n">
        <v>2760</v>
      </c>
      <c r="E130" s="23" t="n">
        <v>6836</v>
      </c>
      <c r="F130" s="23" t="n">
        <f aca="false">D130-E130</f>
        <v>-4076</v>
      </c>
      <c r="G130" s="24" t="n">
        <f aca="false">IF(E130&gt;0,D130/E130-1,"")</f>
        <v>-0.596255119953189</v>
      </c>
      <c r="H130" s="3" t="str">
        <f aca="false">IF(MAX(D130,E130)&lt;Parametros!$B$16,"",IF(E130=0,"PIDE SIN FCST",IF(ABS(G130)&gt;Parametros!$B$14,IF(G130&gt;0,"SOBRE FCST","BAJO FCST"),"")))</f>
        <v>BAJO FCST</v>
      </c>
    </row>
    <row r="131" customFormat="false" ht="15" hidden="false" customHeight="false" outlineLevel="0" collapsed="false">
      <c r="A131" s="3" t="n">
        <v>30002065</v>
      </c>
      <c r="B131" s="3" t="s">
        <v>225</v>
      </c>
      <c r="C131" s="3" t="s">
        <v>448</v>
      </c>
      <c r="D131" s="23" t="n">
        <v>6132</v>
      </c>
      <c r="E131" s="23" t="n">
        <v>10200.2691666667</v>
      </c>
      <c r="F131" s="23" t="n">
        <f aca="false">D131-E131</f>
        <v>-4068.26916666667</v>
      </c>
      <c r="G131" s="24" t="n">
        <f aca="false">IF(E131&gt;0,D131/E131-1,"")</f>
        <v>-0.398839393372218</v>
      </c>
      <c r="H131" s="3" t="str">
        <f aca="false">IF(MAX(D131,E131)&lt;Parametros!$B$16,"",IF(E131=0,"PIDE SIN FCST",IF(ABS(G131)&gt;Parametros!$B$14,IF(G131&gt;0,"SOBRE FCST","BAJO FCST"),"")))</f>
        <v>BAJO FCST</v>
      </c>
    </row>
    <row r="132" customFormat="false" ht="15" hidden="false" customHeight="false" outlineLevel="0" collapsed="false">
      <c r="A132" s="3" t="n">
        <v>30000258</v>
      </c>
      <c r="B132" s="3" t="s">
        <v>196</v>
      </c>
      <c r="C132" s="3" t="s">
        <v>453</v>
      </c>
      <c r="D132" s="23" t="n">
        <v>11412</v>
      </c>
      <c r="E132" s="23" t="n">
        <v>15428.5</v>
      </c>
      <c r="F132" s="23" t="n">
        <f aca="false">D132-E132</f>
        <v>-4016.5</v>
      </c>
      <c r="G132" s="24" t="n">
        <f aca="false">IF(E132&gt;0,D132/E132-1,"")</f>
        <v>-0.260329908934764</v>
      </c>
      <c r="H132" s="3" t="str">
        <f aca="false">IF(MAX(D132,E132)&lt;Parametros!$B$16,"",IF(E132=0,"PIDE SIN FCST",IF(ABS(G132)&gt;Parametros!$B$14,IF(G132&gt;0,"SOBRE FCST","BAJO FCST"),"")))</f>
        <v>BAJO FCST</v>
      </c>
    </row>
    <row r="133" customFormat="false" ht="15" hidden="false" customHeight="false" outlineLevel="0" collapsed="false">
      <c r="A133" s="3" t="n">
        <v>30002217</v>
      </c>
      <c r="B133" s="3" t="s">
        <v>291</v>
      </c>
      <c r="C133" s="3" t="s">
        <v>454</v>
      </c>
      <c r="D133" s="23" t="n">
        <v>2794.5</v>
      </c>
      <c r="E133" s="23" t="n">
        <v>6769.94529746368</v>
      </c>
      <c r="F133" s="23" t="n">
        <f aca="false">D133-E133</f>
        <v>-3975.44529746368</v>
      </c>
      <c r="G133" s="24" t="n">
        <f aca="false">IF(E133&gt;0,D133/E133-1,"")</f>
        <v>-0.587219707514189</v>
      </c>
      <c r="H133" s="3" t="str">
        <f aca="false">IF(MAX(D133,E133)&lt;Parametros!$B$16,"",IF(E133=0,"PIDE SIN FCST",IF(ABS(G133)&gt;Parametros!$B$14,IF(G133&gt;0,"SOBRE FCST","BAJO FCST"),"")))</f>
        <v>BAJO FCST</v>
      </c>
    </row>
    <row r="134" customFormat="false" ht="15" hidden="false" customHeight="false" outlineLevel="0" collapsed="false">
      <c r="A134" s="3" t="n">
        <v>30000400</v>
      </c>
      <c r="B134" s="3" t="s">
        <v>199</v>
      </c>
      <c r="C134" s="3" t="s">
        <v>452</v>
      </c>
      <c r="D134" s="23" t="n">
        <v>4950</v>
      </c>
      <c r="E134" s="23" t="n">
        <v>8882.89048384483</v>
      </c>
      <c r="F134" s="23" t="n">
        <f aca="false">D134-E134</f>
        <v>-3932.89048384483</v>
      </c>
      <c r="G134" s="24" t="n">
        <f aca="false">IF(E134&gt;0,D134/E134-1,"")</f>
        <v>-0.442748955533958</v>
      </c>
      <c r="H134" s="3" t="str">
        <f aca="false">IF(MAX(D134,E134)&lt;Parametros!$B$16,"",IF(E134=0,"PIDE SIN FCST",IF(ABS(G134)&gt;Parametros!$B$14,IF(G134&gt;0,"SOBRE FCST","BAJO FCST"),"")))</f>
        <v>BAJO FCST</v>
      </c>
    </row>
    <row r="135" customFormat="false" ht="15" hidden="false" customHeight="false" outlineLevel="0" collapsed="false">
      <c r="A135" s="3" t="n">
        <v>30001487</v>
      </c>
      <c r="B135" s="3" t="s">
        <v>238</v>
      </c>
      <c r="C135" s="3" t="s">
        <v>455</v>
      </c>
      <c r="D135" s="23" t="n">
        <v>13824</v>
      </c>
      <c r="E135" s="23" t="n">
        <v>9944.16</v>
      </c>
      <c r="F135" s="23" t="n">
        <f aca="false">D135-E135</f>
        <v>3879.84</v>
      </c>
      <c r="G135" s="24" t="n">
        <f aca="false">IF(E135&gt;0,D135/E135-1,"")</f>
        <v>0.390162668340011</v>
      </c>
      <c r="H135" s="3" t="str">
        <f aca="false">IF(MAX(D135,E135)&lt;Parametros!$B$16,"",IF(E135=0,"PIDE SIN FCST",IF(ABS(G135)&gt;Parametros!$B$14,IF(G135&gt;0,"SOBRE FCST","BAJO FCST"),"")))</f>
        <v>SOBRE FCST</v>
      </c>
    </row>
    <row r="136" customFormat="false" ht="15" hidden="false" customHeight="false" outlineLevel="0" collapsed="false">
      <c r="A136" s="3" t="n">
        <v>30000306</v>
      </c>
      <c r="B136" s="3" t="s">
        <v>231</v>
      </c>
      <c r="C136" s="3" t="s">
        <v>448</v>
      </c>
      <c r="D136" s="23" t="n">
        <v>8460</v>
      </c>
      <c r="E136" s="23" t="n">
        <v>12276.1416666667</v>
      </c>
      <c r="F136" s="23" t="n">
        <f aca="false">D136-E136</f>
        <v>-3816.14166666667</v>
      </c>
      <c r="G136" s="24" t="n">
        <f aca="false">IF(E136&gt;0,D136/E136-1,"")</f>
        <v>-0.310858392668163</v>
      </c>
      <c r="H136" s="3" t="str">
        <f aca="false">IF(MAX(D136,E136)&lt;Parametros!$B$16,"",IF(E136=0,"PIDE SIN FCST",IF(ABS(G136)&gt;Parametros!$B$14,IF(G136&gt;0,"SOBRE FCST","BAJO FCST"),"")))</f>
        <v>BAJO FCST</v>
      </c>
    </row>
    <row r="137" customFormat="false" ht="15" hidden="false" customHeight="false" outlineLevel="0" collapsed="false">
      <c r="A137" s="3" t="n">
        <v>30000305</v>
      </c>
      <c r="B137" s="3" t="s">
        <v>207</v>
      </c>
      <c r="C137" s="3" t="s">
        <v>454</v>
      </c>
      <c r="D137" s="23" t="n">
        <v>8640</v>
      </c>
      <c r="E137" s="23" t="n">
        <v>5040.96</v>
      </c>
      <c r="F137" s="23" t="n">
        <f aca="false">D137-E137</f>
        <v>3599.04</v>
      </c>
      <c r="G137" s="24" t="n">
        <f aca="false">IF(E137&gt;0,D137/E137-1,"")</f>
        <v>0.713959245857932</v>
      </c>
      <c r="H137" s="3" t="str">
        <f aca="false">IF(MAX(D137,E137)&lt;Parametros!$B$16,"",IF(E137=0,"PIDE SIN FCST",IF(ABS(G137)&gt;Parametros!$B$14,IF(G137&gt;0,"SOBRE FCST","BAJO FCST"),"")))</f>
        <v>SOBRE FCST</v>
      </c>
    </row>
    <row r="138" customFormat="false" ht="15" hidden="false" customHeight="false" outlineLevel="0" collapsed="false">
      <c r="A138" s="3" t="n">
        <v>30000400</v>
      </c>
      <c r="B138" s="3" t="s">
        <v>199</v>
      </c>
      <c r="C138" s="3" t="s">
        <v>453</v>
      </c>
      <c r="D138" s="23" t="n">
        <v>5928</v>
      </c>
      <c r="E138" s="23" t="n">
        <v>2416.11941749942</v>
      </c>
      <c r="F138" s="23" t="n">
        <f aca="false">D138-E138</f>
        <v>3511.88058250058</v>
      </c>
      <c r="G138" s="24" t="n">
        <f aca="false">IF(E138&gt;0,D138/E138-1,"")</f>
        <v>1.45352111202154</v>
      </c>
      <c r="H138" s="3" t="str">
        <f aca="false">IF(MAX(D138,E138)&lt;Parametros!$B$16,"",IF(E138=0,"PIDE SIN FCST",IF(ABS(G138)&gt;Parametros!$B$14,IF(G138&gt;0,"SOBRE FCST","BAJO FCST"),"")))</f>
        <v>SOBRE FCST</v>
      </c>
    </row>
    <row r="139" customFormat="false" ht="15" hidden="false" customHeight="false" outlineLevel="0" collapsed="false">
      <c r="A139" s="3" t="n">
        <v>30000325</v>
      </c>
      <c r="B139" s="3" t="s">
        <v>189</v>
      </c>
      <c r="C139" s="3" t="s">
        <v>447</v>
      </c>
      <c r="D139" s="23" t="n">
        <v>4080</v>
      </c>
      <c r="E139" s="23" t="n">
        <v>7590.44095194773</v>
      </c>
      <c r="F139" s="23" t="n">
        <f aca="false">D139-E139</f>
        <v>-3510.44095194773</v>
      </c>
      <c r="G139" s="24" t="n">
        <f aca="false">IF(E139&gt;0,D139/E139-1,"")</f>
        <v>-0.462481820775767</v>
      </c>
      <c r="H139" s="3" t="str">
        <f aca="false">IF(MAX(D139,E139)&lt;Parametros!$B$16,"",IF(E139=0,"PIDE SIN FCST",IF(ABS(G139)&gt;Parametros!$B$14,IF(G139&gt;0,"SOBRE FCST","BAJO FCST"),"")))</f>
        <v>BAJO FCST</v>
      </c>
    </row>
    <row r="140" customFormat="false" ht="15" hidden="false" customHeight="false" outlineLevel="0" collapsed="false">
      <c r="A140" s="3" t="n">
        <v>30000514</v>
      </c>
      <c r="B140" s="3" t="s">
        <v>204</v>
      </c>
      <c r="C140" s="3" t="s">
        <v>450</v>
      </c>
      <c r="D140" s="23" t="n">
        <v>23652</v>
      </c>
      <c r="E140" s="23" t="n">
        <v>20298.85</v>
      </c>
      <c r="F140" s="23" t="n">
        <f aca="false">D140-E140</f>
        <v>3353.15</v>
      </c>
      <c r="G140" s="24" t="n">
        <f aca="false">IF(E140&gt;0,D140/E140-1,"")</f>
        <v>0.165189160962321</v>
      </c>
      <c r="H140" s="3" t="str">
        <f aca="false">IF(MAX(D140,E140)&lt;Parametros!$B$16,"",IF(E140=0,"PIDE SIN FCST",IF(ABS(G140)&gt;Parametros!$B$14,IF(G140&gt;0,"SOBRE FCST","BAJO FCST"),"")))</f>
        <v/>
      </c>
    </row>
    <row r="141" customFormat="false" ht="15" hidden="false" customHeight="false" outlineLevel="0" collapsed="false">
      <c r="A141" s="3" t="n">
        <v>30000326</v>
      </c>
      <c r="B141" s="3" t="s">
        <v>190</v>
      </c>
      <c r="C141" s="3" t="s">
        <v>447</v>
      </c>
      <c r="D141" s="23" t="n">
        <v>3060</v>
      </c>
      <c r="E141" s="23" t="n">
        <v>6387.65285666872</v>
      </c>
      <c r="F141" s="23" t="n">
        <f aca="false">D141-E141</f>
        <v>-3327.65285666872</v>
      </c>
      <c r="G141" s="24" t="n">
        <f aca="false">IF(E141&gt;0,D141/E141-1,"")</f>
        <v>-0.520950798569876</v>
      </c>
      <c r="H141" s="3" t="str">
        <f aca="false">IF(MAX(D141,E141)&lt;Parametros!$B$16,"",IF(E141=0,"PIDE SIN FCST",IF(ABS(G141)&gt;Parametros!$B$14,IF(G141&gt;0,"SOBRE FCST","BAJO FCST"),"")))</f>
        <v>BAJO FCST</v>
      </c>
    </row>
    <row r="142" customFormat="false" ht="15" hidden="false" customHeight="false" outlineLevel="0" collapsed="false">
      <c r="A142" s="3" t="n">
        <v>30000355</v>
      </c>
      <c r="B142" s="3" t="s">
        <v>290</v>
      </c>
      <c r="C142" s="3" t="s">
        <v>448</v>
      </c>
      <c r="D142" s="23" t="n">
        <v>744</v>
      </c>
      <c r="E142" s="23" t="n">
        <v>4045.33333333333</v>
      </c>
      <c r="F142" s="23" t="n">
        <f aca="false">D142-E142</f>
        <v>-3301.33333333333</v>
      </c>
      <c r="G142" s="24" t="n">
        <f aca="false">IF(E142&gt;0,D142/E142-1,"")</f>
        <v>-0.816084377059987</v>
      </c>
      <c r="H142" s="3" t="str">
        <f aca="false">IF(MAX(D142,E142)&lt;Parametros!$B$16,"",IF(E142=0,"PIDE SIN FCST",IF(ABS(G142)&gt;Parametros!$B$14,IF(G142&gt;0,"SOBRE FCST","BAJO FCST"),"")))</f>
        <v>BAJO FCST</v>
      </c>
    </row>
    <row r="143" customFormat="false" ht="15" hidden="false" customHeight="false" outlineLevel="0" collapsed="false">
      <c r="A143" s="3" t="n">
        <v>30000514</v>
      </c>
      <c r="B143" s="3" t="s">
        <v>204</v>
      </c>
      <c r="C143" s="3" t="s">
        <v>454</v>
      </c>
      <c r="D143" s="23" t="n">
        <v>11424</v>
      </c>
      <c r="E143" s="23" t="n">
        <v>8145.52</v>
      </c>
      <c r="F143" s="23" t="n">
        <f aca="false">D143-E143</f>
        <v>3278.48</v>
      </c>
      <c r="G143" s="24" t="n">
        <f aca="false">IF(E143&gt;0,D143/E143-1,"")</f>
        <v>0.402488730001277</v>
      </c>
      <c r="H143" s="3" t="str">
        <f aca="false">IF(MAX(D143,E143)&lt;Parametros!$B$16,"",IF(E143=0,"PIDE SIN FCST",IF(ABS(G143)&gt;Parametros!$B$14,IF(G143&gt;0,"SOBRE FCST","BAJO FCST"),"")))</f>
        <v>SOBRE FCST</v>
      </c>
    </row>
    <row r="144" customFormat="false" ht="15" hidden="false" customHeight="false" outlineLevel="0" collapsed="false">
      <c r="A144" s="3" t="n">
        <v>30000206</v>
      </c>
      <c r="B144" s="3" t="s">
        <v>218</v>
      </c>
      <c r="C144" s="3" t="s">
        <v>453</v>
      </c>
      <c r="D144" s="23" t="n">
        <v>1848</v>
      </c>
      <c r="E144" s="23" t="n">
        <v>5106.8</v>
      </c>
      <c r="F144" s="23" t="n">
        <f aca="false">D144-E144</f>
        <v>-3258.8</v>
      </c>
      <c r="G144" s="24" t="n">
        <f aca="false">IF(E144&gt;0,D144/E144-1,"")</f>
        <v>-0.638129552753192</v>
      </c>
      <c r="H144" s="3" t="str">
        <f aca="false">IF(MAX(D144,E144)&lt;Parametros!$B$16,"",IF(E144=0,"PIDE SIN FCST",IF(ABS(G144)&gt;Parametros!$B$14,IF(G144&gt;0,"SOBRE FCST","BAJO FCST"),"")))</f>
        <v>BAJO FCST</v>
      </c>
    </row>
    <row r="145" customFormat="false" ht="15" hidden="false" customHeight="false" outlineLevel="0" collapsed="false">
      <c r="A145" s="3" t="n">
        <v>30000309</v>
      </c>
      <c r="B145" s="3" t="s">
        <v>200</v>
      </c>
      <c r="C145" s="3" t="s">
        <v>454</v>
      </c>
      <c r="D145" s="23" t="n">
        <v>10272</v>
      </c>
      <c r="E145" s="23" t="n">
        <v>7051.65</v>
      </c>
      <c r="F145" s="23" t="n">
        <f aca="false">D145-E145</f>
        <v>3220.35</v>
      </c>
      <c r="G145" s="24" t="n">
        <f aca="false">IF(E145&gt;0,D145/E145-1,"")</f>
        <v>0.456680351407118</v>
      </c>
      <c r="H145" s="3" t="str">
        <f aca="false">IF(MAX(D145,E145)&lt;Parametros!$B$16,"",IF(E145=0,"PIDE SIN FCST",IF(ABS(G145)&gt;Parametros!$B$14,IF(G145&gt;0,"SOBRE FCST","BAJO FCST"),"")))</f>
        <v>SOBRE FCST</v>
      </c>
    </row>
    <row r="146" customFormat="false" ht="15" hidden="false" customHeight="false" outlineLevel="0" collapsed="false">
      <c r="A146" s="3" t="n">
        <v>30002325</v>
      </c>
      <c r="B146" s="3" t="s">
        <v>272</v>
      </c>
      <c r="C146" s="3" t="s">
        <v>450</v>
      </c>
      <c r="D146" s="23" t="n">
        <v>6156</v>
      </c>
      <c r="E146" s="23" t="n">
        <v>2987.6</v>
      </c>
      <c r="F146" s="23" t="n">
        <f aca="false">D146-E146</f>
        <v>3168.4</v>
      </c>
      <c r="G146" s="24" t="n">
        <f aca="false">IF(E146&gt;0,D146/E146-1,"")</f>
        <v>1.06051680278484</v>
      </c>
      <c r="H146" s="3" t="str">
        <f aca="false">IF(MAX(D146,E146)&lt;Parametros!$B$16,"",IF(E146=0,"PIDE SIN FCST",IF(ABS(G146)&gt;Parametros!$B$14,IF(G146&gt;0,"SOBRE FCST","BAJO FCST"),"")))</f>
        <v>SOBRE FCST</v>
      </c>
    </row>
    <row r="147" customFormat="false" ht="15" hidden="false" customHeight="false" outlineLevel="0" collapsed="false">
      <c r="A147" s="3" t="n">
        <v>30002329</v>
      </c>
      <c r="B147" s="3" t="s">
        <v>206</v>
      </c>
      <c r="C147" s="3" t="s">
        <v>455</v>
      </c>
      <c r="D147" s="23" t="n">
        <v>42864</v>
      </c>
      <c r="E147" s="23" t="n">
        <v>46000</v>
      </c>
      <c r="F147" s="23" t="n">
        <f aca="false">D147-E147</f>
        <v>-3136</v>
      </c>
      <c r="G147" s="24" t="n">
        <f aca="false">IF(E147&gt;0,D147/E147-1,"")</f>
        <v>-0.0681739130434783</v>
      </c>
      <c r="H147" s="3" t="str">
        <f aca="false">IF(MAX(D147,E147)&lt;Parametros!$B$16,"",IF(E147=0,"PIDE SIN FCST",IF(ABS(G147)&gt;Parametros!$B$14,IF(G147&gt;0,"SOBRE FCST","BAJO FCST"),"")))</f>
        <v/>
      </c>
    </row>
    <row r="148" customFormat="false" ht="15" hidden="false" customHeight="false" outlineLevel="0" collapsed="false">
      <c r="A148" s="3" t="n">
        <v>30000254</v>
      </c>
      <c r="B148" s="3" t="s">
        <v>212</v>
      </c>
      <c r="C148" s="3" t="s">
        <v>453</v>
      </c>
      <c r="D148" s="23" t="n">
        <v>7032</v>
      </c>
      <c r="E148" s="23" t="n">
        <v>10142.8</v>
      </c>
      <c r="F148" s="23" t="n">
        <f aca="false">D148-E148</f>
        <v>-3110.8</v>
      </c>
      <c r="G148" s="24" t="n">
        <f aca="false">IF(E148&gt;0,D148/E148-1,"")</f>
        <v>-0.306700319438419</v>
      </c>
      <c r="H148" s="3" t="str">
        <f aca="false">IF(MAX(D148,E148)&lt;Parametros!$B$16,"",IF(E148=0,"PIDE SIN FCST",IF(ABS(G148)&gt;Parametros!$B$14,IF(G148&gt;0,"SOBRE FCST","BAJO FCST"),"")))</f>
        <v>BAJO FCST</v>
      </c>
    </row>
    <row r="149" customFormat="false" ht="15" hidden="false" customHeight="false" outlineLevel="0" collapsed="false">
      <c r="A149" s="3" t="n">
        <v>30000305</v>
      </c>
      <c r="B149" s="3" t="s">
        <v>207</v>
      </c>
      <c r="C149" s="3" t="s">
        <v>450</v>
      </c>
      <c r="D149" s="23" t="n">
        <v>10824</v>
      </c>
      <c r="E149" s="23" t="n">
        <v>13930.405</v>
      </c>
      <c r="F149" s="23" t="n">
        <f aca="false">D149-E149</f>
        <v>-3106.405</v>
      </c>
      <c r="G149" s="24" t="n">
        <f aca="false">IF(E149&gt;0,D149/E149-1,"")</f>
        <v>-0.222994593480951</v>
      </c>
      <c r="H149" s="3" t="str">
        <f aca="false">IF(MAX(D149,E149)&lt;Parametros!$B$16,"",IF(E149=0,"PIDE SIN FCST",IF(ABS(G149)&gt;Parametros!$B$14,IF(G149&gt;0,"SOBRE FCST","BAJO FCST"),"")))</f>
        <v>BAJO FCST</v>
      </c>
    </row>
    <row r="150" customFormat="false" ht="15" hidden="false" customHeight="false" outlineLevel="0" collapsed="false">
      <c r="A150" s="3" t="n">
        <v>30000300</v>
      </c>
      <c r="B150" s="3" t="s">
        <v>219</v>
      </c>
      <c r="C150" s="3" t="s">
        <v>454</v>
      </c>
      <c r="D150" s="23" t="n">
        <v>5568</v>
      </c>
      <c r="E150" s="23" t="n">
        <v>2466.79</v>
      </c>
      <c r="F150" s="23" t="n">
        <f aca="false">D150-E150</f>
        <v>3101.21</v>
      </c>
      <c r="G150" s="24" t="n">
        <f aca="false">IF(E150&gt;0,D150/E150-1,"")</f>
        <v>1.25718443807539</v>
      </c>
      <c r="H150" s="3" t="str">
        <f aca="false">IF(MAX(D150,E150)&lt;Parametros!$B$16,"",IF(E150=0,"PIDE SIN FCST",IF(ABS(G150)&gt;Parametros!$B$14,IF(G150&gt;0,"SOBRE FCST","BAJO FCST"),"")))</f>
        <v>SOBRE FCST</v>
      </c>
    </row>
    <row r="151" customFormat="false" ht="15" hidden="false" customHeight="false" outlineLevel="0" collapsed="false">
      <c r="A151" s="3" t="n">
        <v>30000257</v>
      </c>
      <c r="B151" s="3" t="s">
        <v>197</v>
      </c>
      <c r="C151" s="3" t="s">
        <v>452</v>
      </c>
      <c r="D151" s="23" t="n">
        <v>5448</v>
      </c>
      <c r="E151" s="23" t="n">
        <v>8512.1877164785</v>
      </c>
      <c r="F151" s="23" t="n">
        <f aca="false">D151-E151</f>
        <v>-3064.1877164785</v>
      </c>
      <c r="G151" s="24" t="n">
        <f aca="false">IF(E151&gt;0,D151/E151-1,"")</f>
        <v>-0.359976520553773</v>
      </c>
      <c r="H151" s="3" t="str">
        <f aca="false">IF(MAX(D151,E151)&lt;Parametros!$B$16,"",IF(E151=0,"PIDE SIN FCST",IF(ABS(G151)&gt;Parametros!$B$14,IF(G151&gt;0,"SOBRE FCST","BAJO FCST"),"")))</f>
        <v>BAJO FCST</v>
      </c>
    </row>
    <row r="152" customFormat="false" ht="15" hidden="false" customHeight="false" outlineLevel="0" collapsed="false">
      <c r="A152" s="3" t="n">
        <v>30000207</v>
      </c>
      <c r="B152" s="3" t="s">
        <v>222</v>
      </c>
      <c r="C152" s="3" t="s">
        <v>447</v>
      </c>
      <c r="D152" s="23" t="n">
        <v>1842</v>
      </c>
      <c r="E152" s="23" t="n">
        <v>4871.69891150669</v>
      </c>
      <c r="F152" s="23" t="n">
        <f aca="false">D152-E152</f>
        <v>-3029.69891150669</v>
      </c>
      <c r="G152" s="24" t="n">
        <f aca="false">IF(E152&gt;0,D152/E152-1,"")</f>
        <v>-0.621897815636903</v>
      </c>
      <c r="H152" s="3" t="str">
        <f aca="false">IF(MAX(D152,E152)&lt;Parametros!$B$16,"",IF(E152=0,"PIDE SIN FCST",IF(ABS(G152)&gt;Parametros!$B$14,IF(G152&gt;0,"SOBRE FCST","BAJO FCST"),"")))</f>
        <v>BAJO FCST</v>
      </c>
    </row>
    <row r="153" customFormat="false" ht="15" hidden="false" customHeight="false" outlineLevel="0" collapsed="false">
      <c r="A153" s="3" t="n">
        <v>30002315</v>
      </c>
      <c r="B153" s="3" t="s">
        <v>208</v>
      </c>
      <c r="C153" s="3" t="s">
        <v>455</v>
      </c>
      <c r="D153" s="23" t="n">
        <v>26520</v>
      </c>
      <c r="E153" s="23" t="n">
        <v>23500</v>
      </c>
      <c r="F153" s="23" t="n">
        <f aca="false">D153-E153</f>
        <v>3020</v>
      </c>
      <c r="G153" s="24" t="n">
        <f aca="false">IF(E153&gt;0,D153/E153-1,"")</f>
        <v>0.128510638297872</v>
      </c>
      <c r="H153" s="3" t="str">
        <f aca="false">IF(MAX(D153,E153)&lt;Parametros!$B$16,"",IF(E153=0,"PIDE SIN FCST",IF(ABS(G153)&gt;Parametros!$B$14,IF(G153&gt;0,"SOBRE FCST","BAJO FCST"),"")))</f>
        <v/>
      </c>
    </row>
    <row r="154" customFormat="false" ht="15" hidden="false" customHeight="false" outlineLevel="0" collapsed="false">
      <c r="A154" s="3" t="n">
        <v>30000307</v>
      </c>
      <c r="B154" s="3" t="s">
        <v>256</v>
      </c>
      <c r="C154" s="3" t="s">
        <v>448</v>
      </c>
      <c r="D154" s="23" t="n">
        <v>6228</v>
      </c>
      <c r="E154" s="23" t="n">
        <v>9242.03333333333</v>
      </c>
      <c r="F154" s="23" t="n">
        <f aca="false">D154-E154</f>
        <v>-3014.03333333333</v>
      </c>
      <c r="G154" s="24" t="n">
        <f aca="false">IF(E154&gt;0,D154/E154-1,"")</f>
        <v>-0.326122317960333</v>
      </c>
      <c r="H154" s="3" t="str">
        <f aca="false">IF(MAX(D154,E154)&lt;Parametros!$B$16,"",IF(E154=0,"PIDE SIN FCST",IF(ABS(G154)&gt;Parametros!$B$14,IF(G154&gt;0,"SOBRE FCST","BAJO FCST"),"")))</f>
        <v>BAJO FCST</v>
      </c>
    </row>
    <row r="155" customFormat="false" ht="15" hidden="false" customHeight="false" outlineLevel="0" collapsed="false">
      <c r="A155" s="3" t="n">
        <v>30000398</v>
      </c>
      <c r="B155" s="3" t="s">
        <v>221</v>
      </c>
      <c r="C155" s="3" t="s">
        <v>455</v>
      </c>
      <c r="D155" s="23" t="n">
        <v>14688</v>
      </c>
      <c r="E155" s="23" t="n">
        <v>11700</v>
      </c>
      <c r="F155" s="23" t="n">
        <f aca="false">D155-E155</f>
        <v>2988</v>
      </c>
      <c r="G155" s="24" t="n">
        <f aca="false">IF(E155&gt;0,D155/E155-1,"")</f>
        <v>0.255384615384615</v>
      </c>
      <c r="H155" s="3" t="str">
        <f aca="false">IF(MAX(D155,E155)&lt;Parametros!$B$16,"",IF(E155=0,"PIDE SIN FCST",IF(ABS(G155)&gt;Parametros!$B$14,IF(G155&gt;0,"SOBRE FCST","BAJO FCST"),"")))</f>
        <v>SOBRE FCST</v>
      </c>
    </row>
    <row r="156" customFormat="false" ht="15" hidden="false" customHeight="false" outlineLevel="0" collapsed="false">
      <c r="A156" s="3" t="n">
        <v>30000400</v>
      </c>
      <c r="B156" s="3" t="s">
        <v>199</v>
      </c>
      <c r="C156" s="3" t="s">
        <v>450</v>
      </c>
      <c r="D156" s="23" t="n">
        <v>9570</v>
      </c>
      <c r="E156" s="23" t="n">
        <v>6600</v>
      </c>
      <c r="F156" s="23" t="n">
        <f aca="false">D156-E156</f>
        <v>2970</v>
      </c>
      <c r="G156" s="24" t="n">
        <f aca="false">IF(E156&gt;0,D156/E156-1,"")</f>
        <v>0.45</v>
      </c>
      <c r="H156" s="3" t="str">
        <f aca="false">IF(MAX(D156,E156)&lt;Parametros!$B$16,"",IF(E156=0,"PIDE SIN FCST",IF(ABS(G156)&gt;Parametros!$B$14,IF(G156&gt;0,"SOBRE FCST","BAJO FCST"),"")))</f>
        <v>SOBRE FCST</v>
      </c>
    </row>
    <row r="157" customFormat="false" ht="15" hidden="false" customHeight="false" outlineLevel="0" collapsed="false">
      <c r="A157" s="3" t="n">
        <v>30000309</v>
      </c>
      <c r="B157" s="3" t="s">
        <v>200</v>
      </c>
      <c r="C157" s="3" t="s">
        <v>450</v>
      </c>
      <c r="D157" s="23" t="n">
        <v>21324</v>
      </c>
      <c r="E157" s="23" t="n">
        <v>24218.02</v>
      </c>
      <c r="F157" s="23" t="n">
        <f aca="false">D157-E157</f>
        <v>-2894.02</v>
      </c>
      <c r="G157" s="24" t="n">
        <f aca="false">IF(E157&gt;0,D157/E157-1,"")</f>
        <v>-0.119498621274572</v>
      </c>
      <c r="H157" s="3" t="str">
        <f aca="false">IF(MAX(D157,E157)&lt;Parametros!$B$16,"",IF(E157=0,"PIDE SIN FCST",IF(ABS(G157)&gt;Parametros!$B$14,IF(G157&gt;0,"SOBRE FCST","BAJO FCST"),"")))</f>
        <v/>
      </c>
    </row>
    <row r="158" customFormat="false" ht="15" hidden="false" customHeight="false" outlineLevel="0" collapsed="false">
      <c r="A158" s="3" t="n">
        <v>30002291</v>
      </c>
      <c r="B158" s="3" t="s">
        <v>268</v>
      </c>
      <c r="C158" s="3" t="s">
        <v>450</v>
      </c>
      <c r="D158" s="23" t="n">
        <v>6187.5</v>
      </c>
      <c r="E158" s="23" t="n">
        <v>3312.4</v>
      </c>
      <c r="F158" s="23" t="n">
        <f aca="false">D158-E158</f>
        <v>2875.1</v>
      </c>
      <c r="G158" s="24" t="n">
        <f aca="false">IF(E158&gt;0,D158/E158-1,"")</f>
        <v>0.867980920178722</v>
      </c>
      <c r="H158" s="3" t="str">
        <f aca="false">IF(MAX(D158,E158)&lt;Parametros!$B$16,"",IF(E158=0,"PIDE SIN FCST",IF(ABS(G158)&gt;Parametros!$B$14,IF(G158&gt;0,"SOBRE FCST","BAJO FCST"),"")))</f>
        <v>SOBRE FCST</v>
      </c>
    </row>
    <row r="159" customFormat="false" ht="15" hidden="false" customHeight="false" outlineLevel="0" collapsed="false">
      <c r="A159" s="3" t="n">
        <v>30001684</v>
      </c>
      <c r="B159" s="3" t="s">
        <v>213</v>
      </c>
      <c r="C159" s="3" t="s">
        <v>448</v>
      </c>
      <c r="D159" s="23" t="n">
        <v>4968</v>
      </c>
      <c r="E159" s="23" t="n">
        <v>7785.80833333333</v>
      </c>
      <c r="F159" s="23" t="n">
        <f aca="false">D159-E159</f>
        <v>-2817.80833333333</v>
      </c>
      <c r="G159" s="24" t="n">
        <f aca="false">IF(E159&gt;0,D159/E159-1,"")</f>
        <v>-0.361915964623669</v>
      </c>
      <c r="H159" s="3" t="str">
        <f aca="false">IF(MAX(D159,E159)&lt;Parametros!$B$16,"",IF(E159=0,"PIDE SIN FCST",IF(ABS(G159)&gt;Parametros!$B$14,IF(G159&gt;0,"SOBRE FCST","BAJO FCST"),"")))</f>
        <v>BAJO FCST</v>
      </c>
    </row>
    <row r="160" customFormat="false" ht="15" hidden="false" customHeight="false" outlineLevel="0" collapsed="false">
      <c r="A160" s="3" t="n">
        <v>30002076</v>
      </c>
      <c r="B160" s="3" t="s">
        <v>270</v>
      </c>
      <c r="C160" s="3" t="s">
        <v>453</v>
      </c>
      <c r="D160" s="23" t="n">
        <v>3264</v>
      </c>
      <c r="E160" s="23" t="n">
        <v>449.348068006182</v>
      </c>
      <c r="F160" s="23" t="n">
        <f aca="false">D160-E160</f>
        <v>2814.65193199382</v>
      </c>
      <c r="G160" s="24" t="n">
        <f aca="false">IF(E160&gt;0,D160/E160-1,"")</f>
        <v>6.26385675692967</v>
      </c>
      <c r="H160" s="3" t="str">
        <f aca="false">IF(MAX(D160,E160)&lt;Parametros!$B$16,"",IF(E160=0,"PIDE SIN FCST",IF(ABS(G160)&gt;Parametros!$B$14,IF(G160&gt;0,"SOBRE FCST","BAJO FCST"),"")))</f>
        <v>SOBRE FCST</v>
      </c>
    </row>
    <row r="161" customFormat="false" ht="15" hidden="false" customHeight="false" outlineLevel="0" collapsed="false">
      <c r="A161" s="3" t="n">
        <v>30001409</v>
      </c>
      <c r="B161" s="3" t="s">
        <v>211</v>
      </c>
      <c r="C161" s="3" t="s">
        <v>450</v>
      </c>
      <c r="D161" s="23" t="n">
        <v>14246</v>
      </c>
      <c r="E161" s="23" t="n">
        <v>11465.61</v>
      </c>
      <c r="F161" s="23" t="n">
        <f aca="false">D161-E161</f>
        <v>2780.39</v>
      </c>
      <c r="G161" s="24" t="n">
        <f aca="false">IF(E161&gt;0,D161/E161-1,"")</f>
        <v>0.242498218585841</v>
      </c>
      <c r="H161" s="3" t="str">
        <f aca="false">IF(MAX(D161,E161)&lt;Parametros!$B$16,"",IF(E161=0,"PIDE SIN FCST",IF(ABS(G161)&gt;Parametros!$B$14,IF(G161&gt;0,"SOBRE FCST","BAJO FCST"),"")))</f>
        <v>SOBRE FCST</v>
      </c>
    </row>
    <row r="162" customFormat="false" ht="15" hidden="false" customHeight="false" outlineLevel="0" collapsed="false">
      <c r="A162" s="3" t="n">
        <v>30001410</v>
      </c>
      <c r="B162" s="3" t="s">
        <v>229</v>
      </c>
      <c r="C162" s="3" t="s">
        <v>455</v>
      </c>
      <c r="D162" s="23" t="n">
        <v>13685.76</v>
      </c>
      <c r="E162" s="23" t="n">
        <v>10927.844472675</v>
      </c>
      <c r="F162" s="23" t="n">
        <f aca="false">D162-E162</f>
        <v>2757.91552732504</v>
      </c>
      <c r="G162" s="24" t="n">
        <f aca="false">IF(E162&gt;0,D162/E162-1,"")</f>
        <v>0.252375071243117</v>
      </c>
      <c r="H162" s="3" t="str">
        <f aca="false">IF(MAX(D162,E162)&lt;Parametros!$B$16,"",IF(E162=0,"PIDE SIN FCST",IF(ABS(G162)&gt;Parametros!$B$14,IF(G162&gt;0,"SOBRE FCST","BAJO FCST"),"")))</f>
        <v>SOBRE FCST</v>
      </c>
    </row>
    <row r="163" customFormat="false" ht="15" hidden="false" customHeight="false" outlineLevel="0" collapsed="false">
      <c r="A163" s="3" t="n">
        <v>30000400</v>
      </c>
      <c r="B163" s="3" t="s">
        <v>199</v>
      </c>
      <c r="C163" s="3" t="s">
        <v>447</v>
      </c>
      <c r="D163" s="23" t="n">
        <v>11070</v>
      </c>
      <c r="E163" s="23" t="n">
        <v>8326.87194549732</v>
      </c>
      <c r="F163" s="23" t="n">
        <f aca="false">D163-E163</f>
        <v>2743.12805450268</v>
      </c>
      <c r="G163" s="24" t="n">
        <f aca="false">IF(E163&gt;0,D163/E163-1,"")</f>
        <v>0.329430796157013</v>
      </c>
      <c r="H163" s="3" t="str">
        <f aca="false">IF(MAX(D163,E163)&lt;Parametros!$B$16,"",IF(E163=0,"PIDE SIN FCST",IF(ABS(G163)&gt;Parametros!$B$14,IF(G163&gt;0,"SOBRE FCST","BAJO FCST"),"")))</f>
        <v>SOBRE FCST</v>
      </c>
    </row>
    <row r="164" customFormat="false" ht="15" hidden="false" customHeight="false" outlineLevel="0" collapsed="false">
      <c r="A164" s="3" t="n">
        <v>30000516</v>
      </c>
      <c r="B164" s="3" t="s">
        <v>216</v>
      </c>
      <c r="C164" s="3" t="s">
        <v>455</v>
      </c>
      <c r="D164" s="23" t="n">
        <v>17340</v>
      </c>
      <c r="E164" s="23" t="n">
        <v>14607.4881687653</v>
      </c>
      <c r="F164" s="23" t="n">
        <f aca="false">D164-E164</f>
        <v>2732.51183123469</v>
      </c>
      <c r="G164" s="24" t="n">
        <f aca="false">IF(E164&gt;0,D164/E164-1,"")</f>
        <v>0.18706240249282</v>
      </c>
      <c r="H164" s="3" t="str">
        <f aca="false">IF(MAX(D164,E164)&lt;Parametros!$B$16,"",IF(E164=0,"PIDE SIN FCST",IF(ABS(G164)&gt;Parametros!$B$14,IF(G164&gt;0,"SOBRE FCST","BAJO FCST"),"")))</f>
        <v/>
      </c>
    </row>
    <row r="165" customFormat="false" ht="15" hidden="false" customHeight="false" outlineLevel="0" collapsed="false">
      <c r="A165" s="3" t="n">
        <v>30000384</v>
      </c>
      <c r="B165" s="3" t="s">
        <v>210</v>
      </c>
      <c r="C165" s="3" t="s">
        <v>453</v>
      </c>
      <c r="D165" s="23" t="n">
        <v>918</v>
      </c>
      <c r="E165" s="23" t="n">
        <v>3624.81347567482</v>
      </c>
      <c r="F165" s="23" t="n">
        <f aca="false">D165-E165</f>
        <v>-2706.81347567482</v>
      </c>
      <c r="G165" s="24" t="n">
        <f aca="false">IF(E165&gt;0,D165/E165-1,"")</f>
        <v>-0.746745589487443</v>
      </c>
      <c r="H165" s="3" t="str">
        <f aca="false">IF(MAX(D165,E165)&lt;Parametros!$B$16,"",IF(E165=0,"PIDE SIN FCST",IF(ABS(G165)&gt;Parametros!$B$14,IF(G165&gt;0,"SOBRE FCST","BAJO FCST"),"")))</f>
        <v>BAJO FCST</v>
      </c>
    </row>
    <row r="166" customFormat="false" ht="15" hidden="false" customHeight="false" outlineLevel="0" collapsed="false">
      <c r="A166" s="3" t="n">
        <v>30001684</v>
      </c>
      <c r="B166" s="3" t="s">
        <v>213</v>
      </c>
      <c r="C166" s="3" t="s">
        <v>453</v>
      </c>
      <c r="D166" s="23" t="n">
        <v>7032</v>
      </c>
      <c r="E166" s="23" t="n">
        <v>9700</v>
      </c>
      <c r="F166" s="23" t="n">
        <f aca="false">D166-E166</f>
        <v>-2668</v>
      </c>
      <c r="G166" s="24" t="n">
        <f aca="false">IF(E166&gt;0,D166/E166-1,"")</f>
        <v>-0.275051546391753</v>
      </c>
      <c r="H166" s="3" t="str">
        <f aca="false">IF(MAX(D166,E166)&lt;Parametros!$B$16,"",IF(E166=0,"PIDE SIN FCST",IF(ABS(G166)&gt;Parametros!$B$14,IF(G166&gt;0,"SOBRE FCST","BAJO FCST"),"")))</f>
        <v>BAJO FCST</v>
      </c>
    </row>
    <row r="167" customFormat="false" ht="15" hidden="false" customHeight="false" outlineLevel="0" collapsed="false">
      <c r="A167" s="3" t="n">
        <v>30001684</v>
      </c>
      <c r="B167" s="3" t="s">
        <v>213</v>
      </c>
      <c r="C167" s="3" t="s">
        <v>447</v>
      </c>
      <c r="D167" s="23" t="n">
        <v>3900</v>
      </c>
      <c r="E167" s="23" t="n">
        <v>6525.85824673847</v>
      </c>
      <c r="F167" s="23" t="n">
        <f aca="false">D167-E167</f>
        <v>-2625.85824673847</v>
      </c>
      <c r="G167" s="24" t="n">
        <f aca="false">IF(E167&gt;0,D167/E167-1,"")</f>
        <v>-0.402377457103184</v>
      </c>
      <c r="H167" s="3" t="str">
        <f aca="false">IF(MAX(D167,E167)&lt;Parametros!$B$16,"",IF(E167=0,"PIDE SIN FCST",IF(ABS(G167)&gt;Parametros!$B$14,IF(G167&gt;0,"SOBRE FCST","BAJO FCST"),"")))</f>
        <v>BAJO FCST</v>
      </c>
    </row>
    <row r="168" customFormat="false" ht="15" hidden="false" customHeight="false" outlineLevel="0" collapsed="false">
      <c r="A168" s="3" t="n">
        <v>30000328</v>
      </c>
      <c r="B168" s="3" t="s">
        <v>241</v>
      </c>
      <c r="C168" s="3" t="s">
        <v>447</v>
      </c>
      <c r="D168" s="23" t="n">
        <v>1020</v>
      </c>
      <c r="E168" s="23" t="n">
        <v>3633.625</v>
      </c>
      <c r="F168" s="23" t="n">
        <f aca="false">D168-E168</f>
        <v>-2613.625</v>
      </c>
      <c r="G168" s="24" t="n">
        <f aca="false">IF(E168&gt;0,D168/E168-1,"")</f>
        <v>-0.719288589218755</v>
      </c>
      <c r="H168" s="3" t="str">
        <f aca="false">IF(MAX(D168,E168)&lt;Parametros!$B$16,"",IF(E168=0,"PIDE SIN FCST",IF(ABS(G168)&gt;Parametros!$B$14,IF(G168&gt;0,"SOBRE FCST","BAJO FCST"),"")))</f>
        <v>BAJO FCST</v>
      </c>
    </row>
    <row r="169" customFormat="false" ht="15" hidden="false" customHeight="false" outlineLevel="0" collapsed="false">
      <c r="A169" s="3" t="n">
        <v>30000481</v>
      </c>
      <c r="B169" s="3" t="s">
        <v>202</v>
      </c>
      <c r="C169" s="3" t="s">
        <v>455</v>
      </c>
      <c r="D169" s="23" t="n">
        <v>53604</v>
      </c>
      <c r="E169" s="23" t="n">
        <v>51000</v>
      </c>
      <c r="F169" s="23" t="n">
        <f aca="false">D169-E169</f>
        <v>2604</v>
      </c>
      <c r="G169" s="24" t="n">
        <f aca="false">IF(E169&gt;0,D169/E169-1,"")</f>
        <v>0.0510588235294118</v>
      </c>
      <c r="H169" s="3" t="str">
        <f aca="false">IF(MAX(D169,E169)&lt;Parametros!$B$16,"",IF(E169=0,"PIDE SIN FCST",IF(ABS(G169)&gt;Parametros!$B$14,IF(G169&gt;0,"SOBRE FCST","BAJO FCST"),"")))</f>
        <v/>
      </c>
    </row>
    <row r="170" customFormat="false" ht="15" hidden="false" customHeight="false" outlineLevel="0" collapsed="false">
      <c r="A170" s="3" t="n">
        <v>30000255</v>
      </c>
      <c r="B170" s="3" t="s">
        <v>193</v>
      </c>
      <c r="C170" s="3" t="s">
        <v>447</v>
      </c>
      <c r="D170" s="23" t="n">
        <v>39270</v>
      </c>
      <c r="E170" s="23" t="n">
        <v>36686.6778907681</v>
      </c>
      <c r="F170" s="23" t="n">
        <f aca="false">D170-E170</f>
        <v>2583.32210923191</v>
      </c>
      <c r="G170" s="24" t="n">
        <f aca="false">IF(E170&gt;0,D170/E170-1,"")</f>
        <v>0.0704158091643936</v>
      </c>
      <c r="H170" s="3" t="str">
        <f aca="false">IF(MAX(D170,E170)&lt;Parametros!$B$16,"",IF(E170=0,"PIDE SIN FCST",IF(ABS(G170)&gt;Parametros!$B$14,IF(G170&gt;0,"SOBRE FCST","BAJO FCST"),"")))</f>
        <v/>
      </c>
    </row>
    <row r="171" customFormat="false" ht="15" hidden="false" customHeight="false" outlineLevel="0" collapsed="false">
      <c r="A171" s="3" t="n">
        <v>30000254</v>
      </c>
      <c r="B171" s="3" t="s">
        <v>212</v>
      </c>
      <c r="C171" s="3" t="s">
        <v>447</v>
      </c>
      <c r="D171" s="23" t="n">
        <v>1830</v>
      </c>
      <c r="E171" s="23" t="n">
        <v>4396.60222885842</v>
      </c>
      <c r="F171" s="23" t="n">
        <f aca="false">D171-E171</f>
        <v>-2566.60222885842</v>
      </c>
      <c r="G171" s="24" t="n">
        <f aca="false">IF(E171&gt;0,D171/E171-1,"")</f>
        <v>-0.58376948726718</v>
      </c>
      <c r="H171" s="3" t="str">
        <f aca="false">IF(MAX(D171,E171)&lt;Parametros!$B$16,"",IF(E171=0,"PIDE SIN FCST",IF(ABS(G171)&gt;Parametros!$B$14,IF(G171&gt;0,"SOBRE FCST","BAJO FCST"),"")))</f>
        <v>BAJO FCST</v>
      </c>
    </row>
    <row r="172" customFormat="false" ht="15" hidden="false" customHeight="false" outlineLevel="0" collapsed="false">
      <c r="A172" s="3" t="n">
        <v>30000256</v>
      </c>
      <c r="B172" s="3" t="s">
        <v>195</v>
      </c>
      <c r="C172" s="3" t="s">
        <v>448</v>
      </c>
      <c r="D172" s="23" t="n">
        <v>24624</v>
      </c>
      <c r="E172" s="23" t="n">
        <v>27188.9555466667</v>
      </c>
      <c r="F172" s="23" t="n">
        <f aca="false">D172-E172</f>
        <v>-2564.95554666666</v>
      </c>
      <c r="G172" s="24" t="n">
        <f aca="false">IF(E172&gt;0,D172/E172-1,"")</f>
        <v>-0.0943381419070775</v>
      </c>
      <c r="H172" s="3" t="str">
        <f aca="false">IF(MAX(D172,E172)&lt;Parametros!$B$16,"",IF(E172=0,"PIDE SIN FCST",IF(ABS(G172)&gt;Parametros!$B$14,IF(G172&gt;0,"SOBRE FCST","BAJO FCST"),"")))</f>
        <v/>
      </c>
    </row>
    <row r="173" customFormat="false" ht="15" hidden="false" customHeight="false" outlineLevel="0" collapsed="false">
      <c r="A173" s="3" t="n">
        <v>30002359</v>
      </c>
      <c r="B173" s="3" t="s">
        <v>251</v>
      </c>
      <c r="C173" s="3" t="s">
        <v>454</v>
      </c>
      <c r="D173" s="23" t="n">
        <v>3924</v>
      </c>
      <c r="E173" s="23" t="n">
        <v>1400</v>
      </c>
      <c r="F173" s="23" t="n">
        <f aca="false">D173-E173</f>
        <v>2524</v>
      </c>
      <c r="G173" s="24" t="n">
        <f aca="false">IF(E173&gt;0,D173/E173-1,"")</f>
        <v>1.80285714285714</v>
      </c>
      <c r="H173" s="3" t="str">
        <f aca="false">IF(MAX(D173,E173)&lt;Parametros!$B$16,"",IF(E173=0,"PIDE SIN FCST",IF(ABS(G173)&gt;Parametros!$B$14,IF(G173&gt;0,"SOBRE FCST","BAJO FCST"),"")))</f>
        <v>SOBRE FCST</v>
      </c>
    </row>
    <row r="174" customFormat="false" ht="15" hidden="false" customHeight="false" outlineLevel="0" collapsed="false">
      <c r="A174" s="3" t="n">
        <v>30000305</v>
      </c>
      <c r="B174" s="3" t="s">
        <v>207</v>
      </c>
      <c r="C174" s="3" t="s">
        <v>447</v>
      </c>
      <c r="D174" s="23" t="n">
        <v>4320</v>
      </c>
      <c r="E174" s="23" t="n">
        <v>6837.71520305516</v>
      </c>
      <c r="F174" s="23" t="n">
        <f aca="false">D174-E174</f>
        <v>-2517.71520305516</v>
      </c>
      <c r="G174" s="24" t="n">
        <f aca="false">IF(E174&gt;0,D174/E174-1,"")</f>
        <v>-0.36821001289001</v>
      </c>
      <c r="H174" s="3" t="str">
        <f aca="false">IF(MAX(D174,E174)&lt;Parametros!$B$16,"",IF(E174=0,"PIDE SIN FCST",IF(ABS(G174)&gt;Parametros!$B$14,IF(G174&gt;0,"SOBRE FCST","BAJO FCST"),"")))</f>
        <v>BAJO FCST</v>
      </c>
    </row>
    <row r="175" customFormat="false" ht="15" hidden="false" customHeight="false" outlineLevel="0" collapsed="false">
      <c r="A175" s="3" t="n">
        <v>30000478</v>
      </c>
      <c r="B175" s="3" t="s">
        <v>248</v>
      </c>
      <c r="C175" s="3" t="s">
        <v>455</v>
      </c>
      <c r="D175" s="23" t="n">
        <v>1092</v>
      </c>
      <c r="E175" s="23" t="n">
        <v>3564</v>
      </c>
      <c r="F175" s="23" t="n">
        <f aca="false">D175-E175</f>
        <v>-2472</v>
      </c>
      <c r="G175" s="24" t="n">
        <f aca="false">IF(E175&gt;0,D175/E175-1,"")</f>
        <v>-0.693602693602694</v>
      </c>
      <c r="H175" s="3" t="str">
        <f aca="false">IF(MAX(D175,E175)&lt;Parametros!$B$16,"",IF(E175=0,"PIDE SIN FCST",IF(ABS(G175)&gt;Parametros!$B$14,IF(G175&gt;0,"SOBRE FCST","BAJO FCST"),"")))</f>
        <v>BAJO FCST</v>
      </c>
    </row>
    <row r="176" customFormat="false" ht="15" hidden="false" customHeight="false" outlineLevel="0" collapsed="false">
      <c r="A176" s="3" t="n">
        <v>30000244</v>
      </c>
      <c r="B176" s="3" t="s">
        <v>253</v>
      </c>
      <c r="C176" s="3" t="s">
        <v>451</v>
      </c>
      <c r="D176" s="23" t="n">
        <v>2520</v>
      </c>
      <c r="E176" s="23" t="n">
        <v>4992</v>
      </c>
      <c r="F176" s="23" t="n">
        <f aca="false">D176-E176</f>
        <v>-2472</v>
      </c>
      <c r="G176" s="24" t="n">
        <f aca="false">IF(E176&gt;0,D176/E176-1,"")</f>
        <v>-0.495192307692308</v>
      </c>
      <c r="H176" s="3" t="str">
        <f aca="false">IF(MAX(D176,E176)&lt;Parametros!$B$16,"",IF(E176=0,"PIDE SIN FCST",IF(ABS(G176)&gt;Parametros!$B$14,IF(G176&gt;0,"SOBRE FCST","BAJO FCST"),"")))</f>
        <v>BAJO FCST</v>
      </c>
    </row>
    <row r="177" customFormat="false" ht="15" hidden="false" customHeight="false" outlineLevel="0" collapsed="false">
      <c r="A177" s="3" t="n">
        <v>30000256</v>
      </c>
      <c r="B177" s="3" t="s">
        <v>195</v>
      </c>
      <c r="C177" s="3" t="s">
        <v>454</v>
      </c>
      <c r="D177" s="23" t="n">
        <v>8640</v>
      </c>
      <c r="E177" s="23" t="n">
        <v>11091.6</v>
      </c>
      <c r="F177" s="23" t="n">
        <f aca="false">D177-E177</f>
        <v>-2451.6</v>
      </c>
      <c r="G177" s="24" t="n">
        <f aca="false">IF(E177&gt;0,D177/E177-1,"")</f>
        <v>-0.221032132424538</v>
      </c>
      <c r="H177" s="3" t="str">
        <f aca="false">IF(MAX(D177,E177)&lt;Parametros!$B$16,"",IF(E177=0,"PIDE SIN FCST",IF(ABS(G177)&gt;Parametros!$B$14,IF(G177&gt;0,"SOBRE FCST","BAJO FCST"),"")))</f>
        <v>BAJO FCST</v>
      </c>
    </row>
    <row r="178" customFormat="false" ht="15" hidden="false" customHeight="false" outlineLevel="0" collapsed="false">
      <c r="A178" s="3" t="n">
        <v>30002099</v>
      </c>
      <c r="B178" s="3" t="s">
        <v>201</v>
      </c>
      <c r="C178" s="3" t="s">
        <v>454</v>
      </c>
      <c r="D178" s="23" t="n">
        <v>6720</v>
      </c>
      <c r="E178" s="23" t="n">
        <v>9170.7</v>
      </c>
      <c r="F178" s="23" t="n">
        <f aca="false">D178-E178</f>
        <v>-2450.7</v>
      </c>
      <c r="G178" s="24" t="n">
        <f aca="false">IF(E178&gt;0,D178/E178-1,"")</f>
        <v>-0.267231509045111</v>
      </c>
      <c r="H178" s="3" t="str">
        <f aca="false">IF(MAX(D178,E178)&lt;Parametros!$B$16,"",IF(E178=0,"PIDE SIN FCST",IF(ABS(G178)&gt;Parametros!$B$14,IF(G178&gt;0,"SOBRE FCST","BAJO FCST"),"")))</f>
        <v>BAJO FCST</v>
      </c>
    </row>
    <row r="179" customFormat="false" ht="15" hidden="false" customHeight="false" outlineLevel="0" collapsed="false">
      <c r="A179" s="3" t="n">
        <v>30000246</v>
      </c>
      <c r="B179" s="3" t="s">
        <v>257</v>
      </c>
      <c r="C179" s="3" t="s">
        <v>451</v>
      </c>
      <c r="D179" s="23" t="n">
        <v>0</v>
      </c>
      <c r="E179" s="23" t="n">
        <v>2414.9664</v>
      </c>
      <c r="F179" s="23" t="n">
        <f aca="false">D179-E179</f>
        <v>-2414.9664</v>
      </c>
      <c r="G179" s="24" t="n">
        <f aca="false">IF(E179&gt;0,D179/E179-1,"")</f>
        <v>-1</v>
      </c>
      <c r="H179" s="3" t="str">
        <f aca="false">IF(MAX(D179,E179)&lt;Parametros!$B$16,"",IF(E179=0,"PIDE SIN FCST",IF(ABS(G179)&gt;Parametros!$B$14,IF(G179&gt;0,"SOBRE FCST","BAJO FCST"),"")))</f>
        <v>BAJO FCST</v>
      </c>
    </row>
    <row r="180" customFormat="false" ht="15" hidden="false" customHeight="false" outlineLevel="0" collapsed="false">
      <c r="A180" s="3" t="n">
        <v>30002098</v>
      </c>
      <c r="B180" s="3" t="s">
        <v>261</v>
      </c>
      <c r="C180" s="3" t="s">
        <v>455</v>
      </c>
      <c r="D180" s="23" t="n">
        <v>1296</v>
      </c>
      <c r="E180" s="23" t="n">
        <v>3700</v>
      </c>
      <c r="F180" s="23" t="n">
        <f aca="false">D180-E180</f>
        <v>-2404</v>
      </c>
      <c r="G180" s="24" t="n">
        <f aca="false">IF(E180&gt;0,D180/E180-1,"")</f>
        <v>-0.64972972972973</v>
      </c>
      <c r="H180" s="3" t="str">
        <f aca="false">IF(MAX(D180,E180)&lt;Parametros!$B$16,"",IF(E180=0,"PIDE SIN FCST",IF(ABS(G180)&gt;Parametros!$B$14,IF(G180&gt;0,"SOBRE FCST","BAJO FCST"),"")))</f>
        <v>BAJO FCST</v>
      </c>
    </row>
    <row r="181" customFormat="false" ht="15" hidden="false" customHeight="false" outlineLevel="0" collapsed="false">
      <c r="A181" s="3" t="n">
        <v>30000481</v>
      </c>
      <c r="B181" s="3" t="s">
        <v>202</v>
      </c>
      <c r="C181" s="3" t="s">
        <v>447</v>
      </c>
      <c r="D181" s="23" t="n">
        <v>11364</v>
      </c>
      <c r="E181" s="23" t="n">
        <v>8975.86106578395</v>
      </c>
      <c r="F181" s="23" t="n">
        <f aca="false">D181-E181</f>
        <v>2388.13893421605</v>
      </c>
      <c r="G181" s="24" t="n">
        <f aca="false">IF(E181&gt;0,D181/E181-1,"")</f>
        <v>0.266062377382338</v>
      </c>
      <c r="H181" s="3" t="str">
        <f aca="false">IF(MAX(D181,E181)&lt;Parametros!$B$16,"",IF(E181=0,"PIDE SIN FCST",IF(ABS(G181)&gt;Parametros!$B$14,IF(G181&gt;0,"SOBRE FCST","BAJO FCST"),"")))</f>
        <v>SOBRE FCST</v>
      </c>
    </row>
    <row r="182" customFormat="false" ht="15" hidden="false" customHeight="false" outlineLevel="0" collapsed="false">
      <c r="A182" s="3" t="n">
        <v>30002065</v>
      </c>
      <c r="B182" s="3" t="s">
        <v>225</v>
      </c>
      <c r="C182" s="3" t="s">
        <v>450</v>
      </c>
      <c r="D182" s="23" t="n">
        <v>5520</v>
      </c>
      <c r="E182" s="23" t="n">
        <v>3200</v>
      </c>
      <c r="F182" s="23" t="n">
        <f aca="false">D182-E182</f>
        <v>2320</v>
      </c>
      <c r="G182" s="24" t="n">
        <f aca="false">IF(E182&gt;0,D182/E182-1,"")</f>
        <v>0.725</v>
      </c>
      <c r="H182" s="3" t="str">
        <f aca="false">IF(MAX(D182,E182)&lt;Parametros!$B$16,"",IF(E182=0,"PIDE SIN FCST",IF(ABS(G182)&gt;Parametros!$B$14,IF(G182&gt;0,"SOBRE FCST","BAJO FCST"),"")))</f>
        <v>SOBRE FCST</v>
      </c>
    </row>
    <row r="183" customFormat="false" ht="15" hidden="false" customHeight="false" outlineLevel="0" collapsed="false">
      <c r="A183" s="3" t="n">
        <v>30002329</v>
      </c>
      <c r="B183" s="3" t="s">
        <v>206</v>
      </c>
      <c r="C183" s="3" t="s">
        <v>450</v>
      </c>
      <c r="D183" s="23" t="n">
        <v>18894</v>
      </c>
      <c r="E183" s="23" t="n">
        <v>16600</v>
      </c>
      <c r="F183" s="23" t="n">
        <f aca="false">D183-E183</f>
        <v>2294</v>
      </c>
      <c r="G183" s="24" t="n">
        <f aca="false">IF(E183&gt;0,D183/E183-1,"")</f>
        <v>0.138192771084337</v>
      </c>
      <c r="H183" s="3" t="str">
        <f aca="false">IF(MAX(D183,E183)&lt;Parametros!$B$16,"",IF(E183=0,"PIDE SIN FCST",IF(ABS(G183)&gt;Parametros!$B$14,IF(G183&gt;0,"SOBRE FCST","BAJO FCST"),"")))</f>
        <v/>
      </c>
    </row>
    <row r="184" customFormat="false" ht="15" hidden="false" customHeight="false" outlineLevel="0" collapsed="false">
      <c r="A184" s="3" t="n">
        <v>30000206</v>
      </c>
      <c r="B184" s="3" t="s">
        <v>218</v>
      </c>
      <c r="C184" s="3" t="s">
        <v>450</v>
      </c>
      <c r="D184" s="23" t="n">
        <v>8562</v>
      </c>
      <c r="E184" s="23" t="n">
        <v>10855.2656756593</v>
      </c>
      <c r="F184" s="23" t="n">
        <f aca="false">D184-E184</f>
        <v>-2293.26567565934</v>
      </c>
      <c r="G184" s="24" t="n">
        <f aca="false">IF(E184&gt;0,D184/E184-1,"")</f>
        <v>-0.211258364758544</v>
      </c>
      <c r="H184" s="3" t="str">
        <f aca="false">IF(MAX(D184,E184)&lt;Parametros!$B$16,"",IF(E184=0,"PIDE SIN FCST",IF(ABS(G184)&gt;Parametros!$B$14,IF(G184&gt;0,"SOBRE FCST","BAJO FCST"),"")))</f>
        <v>BAJO FCST</v>
      </c>
    </row>
    <row r="185" customFormat="false" ht="15" hidden="false" customHeight="false" outlineLevel="0" collapsed="false">
      <c r="A185" s="3" t="n">
        <v>30002358</v>
      </c>
      <c r="B185" s="3" t="s">
        <v>271</v>
      </c>
      <c r="C185" s="3" t="s">
        <v>448</v>
      </c>
      <c r="D185" s="23" t="n">
        <v>1434</v>
      </c>
      <c r="E185" s="23" t="n">
        <v>3711.85833333333</v>
      </c>
      <c r="F185" s="23" t="n">
        <f aca="false">D185-E185</f>
        <v>-2277.85833333333</v>
      </c>
      <c r="G185" s="24" t="n">
        <f aca="false">IF(E185&gt;0,D185/E185-1,"")</f>
        <v>-0.613670600754788</v>
      </c>
      <c r="H185" s="3" t="str">
        <f aca="false">IF(MAX(D185,E185)&lt;Parametros!$B$16,"",IF(E185=0,"PIDE SIN FCST",IF(ABS(G185)&gt;Parametros!$B$14,IF(G185&gt;0,"SOBRE FCST","BAJO FCST"),"")))</f>
        <v>BAJO FCST</v>
      </c>
    </row>
    <row r="186" customFormat="false" ht="15" hidden="false" customHeight="false" outlineLevel="0" collapsed="false">
      <c r="A186" s="3" t="n">
        <v>30000353</v>
      </c>
      <c r="B186" s="3" t="s">
        <v>191</v>
      </c>
      <c r="C186" s="3" t="s">
        <v>447</v>
      </c>
      <c r="D186" s="23" t="n">
        <v>3060</v>
      </c>
      <c r="E186" s="23" t="n">
        <v>5308.0413886998</v>
      </c>
      <c r="F186" s="23" t="n">
        <f aca="false">D186-E186</f>
        <v>-2248.0413886998</v>
      </c>
      <c r="G186" s="24" t="n">
        <f aca="false">IF(E186&gt;0,D186/E186-1,"")</f>
        <v>-0.423516175568189</v>
      </c>
      <c r="H186" s="3" t="str">
        <f aca="false">IF(MAX(D186,E186)&lt;Parametros!$B$16,"",IF(E186=0,"PIDE SIN FCST",IF(ABS(G186)&gt;Parametros!$B$14,IF(G186&gt;0,"SOBRE FCST","BAJO FCST"),"")))</f>
        <v>BAJO FCST</v>
      </c>
    </row>
    <row r="187" customFormat="false" ht="15" hidden="false" customHeight="false" outlineLevel="0" collapsed="false">
      <c r="A187" s="3" t="n">
        <v>30002099</v>
      </c>
      <c r="B187" s="3" t="s">
        <v>201</v>
      </c>
      <c r="C187" s="3" t="s">
        <v>448</v>
      </c>
      <c r="D187" s="23" t="n">
        <v>10602</v>
      </c>
      <c r="E187" s="23" t="n">
        <v>12811.4190133333</v>
      </c>
      <c r="F187" s="23" t="n">
        <f aca="false">D187-E187</f>
        <v>-2209.41901333333</v>
      </c>
      <c r="G187" s="24" t="n">
        <f aca="false">IF(E187&gt;0,D187/E187-1,"")</f>
        <v>-0.172457009721866</v>
      </c>
      <c r="H187" s="3" t="str">
        <f aca="false">IF(MAX(D187,E187)&lt;Parametros!$B$16,"",IF(E187=0,"PIDE SIN FCST",IF(ABS(G187)&gt;Parametros!$B$14,IF(G187&gt;0,"SOBRE FCST","BAJO FCST"),"")))</f>
        <v/>
      </c>
    </row>
    <row r="188" customFormat="false" ht="15" hidden="false" customHeight="false" outlineLevel="0" collapsed="false">
      <c r="A188" s="3" t="n">
        <v>30001977</v>
      </c>
      <c r="B188" s="3" t="s">
        <v>220</v>
      </c>
      <c r="C188" s="3" t="s">
        <v>448</v>
      </c>
      <c r="D188" s="23" t="n">
        <v>3240</v>
      </c>
      <c r="E188" s="23" t="n">
        <v>5447.37</v>
      </c>
      <c r="F188" s="23" t="n">
        <f aca="false">D188-E188</f>
        <v>-2207.37</v>
      </c>
      <c r="G188" s="24" t="n">
        <f aca="false">IF(E188&gt;0,D188/E188-1,"")</f>
        <v>-0.405217563705054</v>
      </c>
      <c r="H188" s="3" t="str">
        <f aca="false">IF(MAX(D188,E188)&lt;Parametros!$B$16,"",IF(E188=0,"PIDE SIN FCST",IF(ABS(G188)&gt;Parametros!$B$14,IF(G188&gt;0,"SOBRE FCST","BAJO FCST"),"")))</f>
        <v>BAJO FCST</v>
      </c>
    </row>
    <row r="189" customFormat="false" ht="15" hidden="false" customHeight="false" outlineLevel="0" collapsed="false">
      <c r="A189" s="3" t="n">
        <v>30000353</v>
      </c>
      <c r="B189" s="3" t="s">
        <v>191</v>
      </c>
      <c r="C189" s="3" t="s">
        <v>454</v>
      </c>
      <c r="D189" s="23" t="n">
        <v>26520</v>
      </c>
      <c r="E189" s="23" t="n">
        <v>28719.5</v>
      </c>
      <c r="F189" s="23" t="n">
        <f aca="false">D189-E189</f>
        <v>-2199.5</v>
      </c>
      <c r="G189" s="24" t="n">
        <f aca="false">IF(E189&gt;0,D189/E189-1,"")</f>
        <v>-0.0765855951531189</v>
      </c>
      <c r="H189" s="3" t="str">
        <f aca="false">IF(MAX(D189,E189)&lt;Parametros!$B$16,"",IF(E189=0,"PIDE SIN FCST",IF(ABS(G189)&gt;Parametros!$B$14,IF(G189&gt;0,"SOBRE FCST","BAJO FCST"),"")))</f>
        <v/>
      </c>
    </row>
    <row r="190" customFormat="false" ht="15" hidden="false" customHeight="false" outlineLevel="0" collapsed="false">
      <c r="A190" s="3" t="n">
        <v>30000384</v>
      </c>
      <c r="B190" s="3" t="s">
        <v>210</v>
      </c>
      <c r="C190" s="3" t="s">
        <v>448</v>
      </c>
      <c r="D190" s="23" t="n">
        <v>3558</v>
      </c>
      <c r="E190" s="23" t="n">
        <v>5703.90416666667</v>
      </c>
      <c r="F190" s="23" t="n">
        <f aca="false">D190-E190</f>
        <v>-2145.90416666667</v>
      </c>
      <c r="G190" s="24" t="n">
        <f aca="false">IF(E190&gt;0,D190/E190-1,"")</f>
        <v>-0.376216728746465</v>
      </c>
      <c r="H190" s="3" t="str">
        <f aca="false">IF(MAX(D190,E190)&lt;Parametros!$B$16,"",IF(E190=0,"PIDE SIN FCST",IF(ABS(G190)&gt;Parametros!$B$14,IF(G190&gt;0,"SOBRE FCST","BAJO FCST"),"")))</f>
        <v>BAJO FCST</v>
      </c>
    </row>
    <row r="191" customFormat="false" ht="15" hidden="false" customHeight="false" outlineLevel="0" collapsed="false">
      <c r="A191" s="3" t="n">
        <v>30002098</v>
      </c>
      <c r="B191" s="3" t="s">
        <v>261</v>
      </c>
      <c r="C191" s="3" t="s">
        <v>448</v>
      </c>
      <c r="D191" s="23" t="n">
        <v>2295</v>
      </c>
      <c r="E191" s="23" t="n">
        <v>4417.6875</v>
      </c>
      <c r="F191" s="23" t="n">
        <f aca="false">D191-E191</f>
        <v>-2122.6875</v>
      </c>
      <c r="G191" s="24" t="n">
        <f aca="false">IF(E191&gt;0,D191/E191-1,"")</f>
        <v>-0.480497432197275</v>
      </c>
      <c r="H191" s="3" t="str">
        <f aca="false">IF(MAX(D191,E191)&lt;Parametros!$B$16,"",IF(E191=0,"PIDE SIN FCST",IF(ABS(G191)&gt;Parametros!$B$14,IF(G191&gt;0,"SOBRE FCST","BAJO FCST"),"")))</f>
        <v>BAJO FCST</v>
      </c>
    </row>
    <row r="192" customFormat="false" ht="15" hidden="false" customHeight="false" outlineLevel="0" collapsed="false">
      <c r="A192" s="3" t="n">
        <v>30000543</v>
      </c>
      <c r="B192" s="3" t="s">
        <v>258</v>
      </c>
      <c r="C192" s="3" t="s">
        <v>450</v>
      </c>
      <c r="D192" s="23" t="n">
        <v>3090</v>
      </c>
      <c r="E192" s="23" t="n">
        <v>5198.44</v>
      </c>
      <c r="F192" s="23" t="n">
        <f aca="false">D192-E192</f>
        <v>-2108.44</v>
      </c>
      <c r="G192" s="24" t="n">
        <f aca="false">IF(E192&gt;0,D192/E192-1,"")</f>
        <v>-0.405590908041643</v>
      </c>
      <c r="H192" s="3" t="str">
        <f aca="false">IF(MAX(D192,E192)&lt;Parametros!$B$16,"",IF(E192=0,"PIDE SIN FCST",IF(ABS(G192)&gt;Parametros!$B$14,IF(G192&gt;0,"SOBRE FCST","BAJO FCST"),"")))</f>
        <v>BAJO FCST</v>
      </c>
    </row>
    <row r="193" customFormat="false" ht="15" hidden="false" customHeight="false" outlineLevel="0" collapsed="false">
      <c r="A193" s="3" t="n">
        <v>30000306</v>
      </c>
      <c r="B193" s="3" t="s">
        <v>231</v>
      </c>
      <c r="C193" s="3" t="s">
        <v>455</v>
      </c>
      <c r="D193" s="23" t="n">
        <v>8640</v>
      </c>
      <c r="E193" s="23" t="n">
        <v>6540.1</v>
      </c>
      <c r="F193" s="23" t="n">
        <f aca="false">D193-E193</f>
        <v>2099.9</v>
      </c>
      <c r="G193" s="24" t="n">
        <f aca="false">IF(E193&gt;0,D193/E193-1,"")</f>
        <v>0.321080717420223</v>
      </c>
      <c r="H193" s="3" t="str">
        <f aca="false">IF(MAX(D193,E193)&lt;Parametros!$B$16,"",IF(E193=0,"PIDE SIN FCST",IF(ABS(G193)&gt;Parametros!$B$14,IF(G193&gt;0,"SOBRE FCST","BAJO FCST"),"")))</f>
        <v>SOBRE FCST</v>
      </c>
    </row>
    <row r="194" customFormat="false" ht="15" hidden="false" customHeight="false" outlineLevel="0" collapsed="false">
      <c r="A194" s="3" t="n">
        <v>30000479</v>
      </c>
      <c r="B194" s="3" t="s">
        <v>289</v>
      </c>
      <c r="C194" s="3" t="s">
        <v>448</v>
      </c>
      <c r="D194" s="23" t="n">
        <v>2808</v>
      </c>
      <c r="E194" s="23" t="n">
        <v>708.166666666667</v>
      </c>
      <c r="F194" s="23" t="n">
        <f aca="false">D194-E194</f>
        <v>2099.83333333333</v>
      </c>
      <c r="G194" s="24" t="n">
        <f aca="false">IF(E194&gt;0,D194/E194-1,"")</f>
        <v>2.96516827488821</v>
      </c>
      <c r="H194" s="3" t="str">
        <f aca="false">IF(MAX(D194,E194)&lt;Parametros!$B$16,"",IF(E194=0,"PIDE SIN FCST",IF(ABS(G194)&gt;Parametros!$B$14,IF(G194&gt;0,"SOBRE FCST","BAJO FCST"),"")))</f>
        <v>SOBRE FCST</v>
      </c>
    </row>
    <row r="195" customFormat="false" ht="15" hidden="false" customHeight="false" outlineLevel="0" collapsed="false">
      <c r="A195" s="3" t="n">
        <v>30002099</v>
      </c>
      <c r="B195" s="3" t="s">
        <v>201</v>
      </c>
      <c r="C195" s="3" t="s">
        <v>450</v>
      </c>
      <c r="D195" s="23" t="n">
        <v>9042</v>
      </c>
      <c r="E195" s="23" t="n">
        <v>11134.1346985486</v>
      </c>
      <c r="F195" s="23" t="n">
        <f aca="false">D195-E195</f>
        <v>-2092.13469854858</v>
      </c>
      <c r="G195" s="24" t="n">
        <f aca="false">IF(E195&gt;0,D195/E195-1,"")</f>
        <v>-0.187902765252275</v>
      </c>
      <c r="H195" s="3" t="str">
        <f aca="false">IF(MAX(D195,E195)&lt;Parametros!$B$16,"",IF(E195=0,"PIDE SIN FCST",IF(ABS(G195)&gt;Parametros!$B$14,IF(G195&gt;0,"SOBRE FCST","BAJO FCST"),"")))</f>
        <v/>
      </c>
    </row>
    <row r="196" customFormat="false" ht="15" hidden="false" customHeight="false" outlineLevel="0" collapsed="false">
      <c r="A196" s="3" t="n">
        <v>30000481</v>
      </c>
      <c r="B196" s="3" t="s">
        <v>202</v>
      </c>
      <c r="C196" s="3" t="s">
        <v>453</v>
      </c>
      <c r="D196" s="23" t="n">
        <v>4260</v>
      </c>
      <c r="E196" s="23" t="n">
        <v>6300</v>
      </c>
      <c r="F196" s="23" t="n">
        <f aca="false">D196-E196</f>
        <v>-2040</v>
      </c>
      <c r="G196" s="24" t="n">
        <f aca="false">IF(E196&gt;0,D196/E196-1,"")</f>
        <v>-0.323809523809524</v>
      </c>
      <c r="H196" s="3" t="str">
        <f aca="false">IF(MAX(D196,E196)&lt;Parametros!$B$16,"",IF(E196=0,"PIDE SIN FCST",IF(ABS(G196)&gt;Parametros!$B$14,IF(G196&gt;0,"SOBRE FCST","BAJO FCST"),"")))</f>
        <v>BAJO FCST</v>
      </c>
    </row>
    <row r="197" customFormat="false" ht="15" hidden="false" customHeight="false" outlineLevel="0" collapsed="false">
      <c r="A197" s="3" t="n">
        <v>30002329</v>
      </c>
      <c r="B197" s="3" t="s">
        <v>206</v>
      </c>
      <c r="C197" s="3" t="s">
        <v>448</v>
      </c>
      <c r="D197" s="23" t="n">
        <v>12630</v>
      </c>
      <c r="E197" s="23" t="n">
        <v>10595.1666666667</v>
      </c>
      <c r="F197" s="23" t="n">
        <f aca="false">D197-E197</f>
        <v>2034.83333333333</v>
      </c>
      <c r="G197" s="24" t="n">
        <f aca="false">IF(E197&gt;0,D197/E197-1,"")</f>
        <v>0.19205298013245</v>
      </c>
      <c r="H197" s="3" t="str">
        <f aca="false">IF(MAX(D197,E197)&lt;Parametros!$B$16,"",IF(E197=0,"PIDE SIN FCST",IF(ABS(G197)&gt;Parametros!$B$14,IF(G197&gt;0,"SOBRE FCST","BAJO FCST"),"")))</f>
        <v/>
      </c>
    </row>
    <row r="198" customFormat="false" ht="15" hidden="false" customHeight="false" outlineLevel="0" collapsed="false">
      <c r="A198" s="3" t="n">
        <v>30000543</v>
      </c>
      <c r="B198" s="3" t="s">
        <v>258</v>
      </c>
      <c r="C198" s="3" t="s">
        <v>448</v>
      </c>
      <c r="D198" s="23" t="n">
        <v>852</v>
      </c>
      <c r="E198" s="23" t="n">
        <v>2881.63</v>
      </c>
      <c r="F198" s="23" t="n">
        <f aca="false">D198-E198</f>
        <v>-2029.63</v>
      </c>
      <c r="G198" s="24" t="n">
        <f aca="false">IF(E198&gt;0,D198/E198-1,"")</f>
        <v>-0.704334005406662</v>
      </c>
      <c r="H198" s="3" t="str">
        <f aca="false">IF(MAX(D198,E198)&lt;Parametros!$B$16,"",IF(E198=0,"PIDE SIN FCST",IF(ABS(G198)&gt;Parametros!$B$14,IF(G198&gt;0,"SOBRE FCST","BAJO FCST"),"")))</f>
        <v>BAJO FCST</v>
      </c>
    </row>
    <row r="199" customFormat="false" ht="15" hidden="false" customHeight="false" outlineLevel="0" collapsed="false">
      <c r="A199" s="3" t="n">
        <v>30000334</v>
      </c>
      <c r="B199" s="3" t="s">
        <v>266</v>
      </c>
      <c r="C199" s="3" t="s">
        <v>448</v>
      </c>
      <c r="D199" s="23" t="n">
        <v>11412</v>
      </c>
      <c r="E199" s="23" t="n">
        <v>9391.31666666667</v>
      </c>
      <c r="F199" s="23" t="n">
        <f aca="false">D199-E199</f>
        <v>2020.68333333333</v>
      </c>
      <c r="G199" s="24" t="n">
        <f aca="false">IF(E199&gt;0,D199/E199-1,"")</f>
        <v>0.215165072700136</v>
      </c>
      <c r="H199" s="3" t="str">
        <f aca="false">IF(MAX(D199,E199)&lt;Parametros!$B$16,"",IF(E199=0,"PIDE SIN FCST",IF(ABS(G199)&gt;Parametros!$B$14,IF(G199&gt;0,"SOBRE FCST","BAJO FCST"),"")))</f>
        <v>SOBRE FCST</v>
      </c>
    </row>
    <row r="200" customFormat="false" ht="15" hidden="false" customHeight="false" outlineLevel="0" collapsed="false">
      <c r="A200" s="3" t="n">
        <v>30001923</v>
      </c>
      <c r="B200" s="3" t="s">
        <v>236</v>
      </c>
      <c r="C200" s="3" t="s">
        <v>453</v>
      </c>
      <c r="D200" s="23" t="n">
        <v>5676</v>
      </c>
      <c r="E200" s="23" t="n">
        <v>7664</v>
      </c>
      <c r="F200" s="23" t="n">
        <f aca="false">D200-E200</f>
        <v>-1988</v>
      </c>
      <c r="G200" s="24" t="n">
        <f aca="false">IF(E200&gt;0,D200/E200-1,"")</f>
        <v>-0.259394572025052</v>
      </c>
      <c r="H200" s="3" t="str">
        <f aca="false">IF(MAX(D200,E200)&lt;Parametros!$B$16,"",IF(E200=0,"PIDE SIN FCST",IF(ABS(G200)&gt;Parametros!$B$14,IF(G200&gt;0,"SOBRE FCST","BAJO FCST"),"")))</f>
        <v>BAJO FCST</v>
      </c>
    </row>
    <row r="201" customFormat="false" ht="15" hidden="false" customHeight="false" outlineLevel="0" collapsed="false">
      <c r="A201" s="3" t="n">
        <v>30002177</v>
      </c>
      <c r="B201" s="3" t="s">
        <v>217</v>
      </c>
      <c r="C201" s="3" t="s">
        <v>450</v>
      </c>
      <c r="D201" s="23" t="n">
        <v>2806</v>
      </c>
      <c r="E201" s="23" t="n">
        <v>820</v>
      </c>
      <c r="F201" s="23" t="n">
        <f aca="false">D201-E201</f>
        <v>1986</v>
      </c>
      <c r="G201" s="24" t="n">
        <f aca="false">IF(E201&gt;0,D201/E201-1,"")</f>
        <v>2.4219512195122</v>
      </c>
      <c r="H201" s="3" t="str">
        <f aca="false">IF(MAX(D201,E201)&lt;Parametros!$B$16,"",IF(E201=0,"PIDE SIN FCST",IF(ABS(G201)&gt;Parametros!$B$14,IF(G201&gt;0,"SOBRE FCST","BAJO FCST"),"")))</f>
        <v>SOBRE FCST</v>
      </c>
    </row>
    <row r="202" customFormat="false" ht="15" hidden="false" customHeight="false" outlineLevel="0" collapsed="false">
      <c r="A202" s="3" t="n">
        <v>30000306</v>
      </c>
      <c r="B202" s="3" t="s">
        <v>231</v>
      </c>
      <c r="C202" s="3" t="s">
        <v>451</v>
      </c>
      <c r="D202" s="23" t="n">
        <v>1500</v>
      </c>
      <c r="E202" s="23" t="n">
        <v>3456</v>
      </c>
      <c r="F202" s="23" t="n">
        <f aca="false">D202-E202</f>
        <v>-1956</v>
      </c>
      <c r="G202" s="24" t="n">
        <f aca="false">IF(E202&gt;0,D202/E202-1,"")</f>
        <v>-0.565972222222222</v>
      </c>
      <c r="H202" s="3" t="str">
        <f aca="false">IF(MAX(D202,E202)&lt;Parametros!$B$16,"",IF(E202=0,"PIDE SIN FCST",IF(ABS(G202)&gt;Parametros!$B$14,IF(G202&gt;0,"SOBRE FCST","BAJO FCST"),"")))</f>
        <v>BAJO FCST</v>
      </c>
    </row>
    <row r="203" customFormat="false" ht="15" hidden="false" customHeight="false" outlineLevel="0" collapsed="false">
      <c r="A203" s="3" t="n">
        <v>30002078</v>
      </c>
      <c r="B203" s="3" t="s">
        <v>233</v>
      </c>
      <c r="C203" s="3" t="s">
        <v>450</v>
      </c>
      <c r="D203" s="23" t="n">
        <v>4044</v>
      </c>
      <c r="E203" s="23" t="n">
        <v>6000</v>
      </c>
      <c r="F203" s="23" t="n">
        <f aca="false">D203-E203</f>
        <v>-1956</v>
      </c>
      <c r="G203" s="24" t="n">
        <f aca="false">IF(E203&gt;0,D203/E203-1,"")</f>
        <v>-0.326</v>
      </c>
      <c r="H203" s="3" t="str">
        <f aca="false">IF(MAX(D203,E203)&lt;Parametros!$B$16,"",IF(E203=0,"PIDE SIN FCST",IF(ABS(G203)&gt;Parametros!$B$14,IF(G203&gt;0,"SOBRE FCST","BAJO FCST"),"")))</f>
        <v>BAJO FCST</v>
      </c>
    </row>
    <row r="204" customFormat="false" ht="15" hidden="false" customHeight="false" outlineLevel="0" collapsed="false">
      <c r="A204" s="3" t="n">
        <v>30001404</v>
      </c>
      <c r="B204" s="3" t="s">
        <v>223</v>
      </c>
      <c r="C204" s="3" t="s">
        <v>455</v>
      </c>
      <c r="D204" s="23" t="n">
        <v>12051</v>
      </c>
      <c r="E204" s="23" t="n">
        <v>10100</v>
      </c>
      <c r="F204" s="23" t="n">
        <f aca="false">D204-E204</f>
        <v>1951</v>
      </c>
      <c r="G204" s="24" t="n">
        <f aca="false">IF(E204&gt;0,D204/E204-1,"")</f>
        <v>0.193168316831683</v>
      </c>
      <c r="H204" s="3" t="str">
        <f aca="false">IF(MAX(D204,E204)&lt;Parametros!$B$16,"",IF(E204=0,"PIDE SIN FCST",IF(ABS(G204)&gt;Parametros!$B$14,IF(G204&gt;0,"SOBRE FCST","BAJO FCST"),"")))</f>
        <v/>
      </c>
    </row>
    <row r="205" customFormat="false" ht="15" hidden="false" customHeight="false" outlineLevel="0" collapsed="false">
      <c r="A205" s="3" t="n">
        <v>30000254</v>
      </c>
      <c r="B205" s="3" t="s">
        <v>212</v>
      </c>
      <c r="C205" s="3" t="s">
        <v>454</v>
      </c>
      <c r="D205" s="23" t="n">
        <v>2880</v>
      </c>
      <c r="E205" s="23" t="n">
        <v>4805.9456</v>
      </c>
      <c r="F205" s="23" t="n">
        <f aca="false">D205-E205</f>
        <v>-1925.9456</v>
      </c>
      <c r="G205" s="24" t="n">
        <f aca="false">IF(E205&gt;0,D205/E205-1,"")</f>
        <v>-0.400742280561811</v>
      </c>
      <c r="H205" s="3" t="str">
        <f aca="false">IF(MAX(D205,E205)&lt;Parametros!$B$16,"",IF(E205=0,"PIDE SIN FCST",IF(ABS(G205)&gt;Parametros!$B$14,IF(G205&gt;0,"SOBRE FCST","BAJO FCST"),"")))</f>
        <v>BAJO FCST</v>
      </c>
    </row>
    <row r="206" customFormat="false" ht="15" hidden="false" customHeight="false" outlineLevel="0" collapsed="false">
      <c r="A206" s="3" t="n">
        <v>30001976</v>
      </c>
      <c r="B206" s="3" t="s">
        <v>263</v>
      </c>
      <c r="C206" s="3" t="s">
        <v>455</v>
      </c>
      <c r="D206" s="23" t="n">
        <v>5580</v>
      </c>
      <c r="E206" s="23" t="n">
        <v>3660</v>
      </c>
      <c r="F206" s="23" t="n">
        <f aca="false">D206-E206</f>
        <v>1920</v>
      </c>
      <c r="G206" s="24" t="n">
        <f aca="false">IF(E206&gt;0,D206/E206-1,"")</f>
        <v>0.524590163934426</v>
      </c>
      <c r="H206" s="3" t="str">
        <f aca="false">IF(MAX(D206,E206)&lt;Parametros!$B$16,"",IF(E206=0,"PIDE SIN FCST",IF(ABS(G206)&gt;Parametros!$B$14,IF(G206&gt;0,"SOBRE FCST","BAJO FCST"),"")))</f>
        <v>SOBRE FCST</v>
      </c>
    </row>
    <row r="207" customFormat="false" ht="15" hidden="false" customHeight="false" outlineLevel="0" collapsed="false">
      <c r="A207" s="3" t="n">
        <v>30001405</v>
      </c>
      <c r="B207" s="3" t="s">
        <v>246</v>
      </c>
      <c r="C207" s="3" t="s">
        <v>455</v>
      </c>
      <c r="D207" s="23" t="n">
        <v>9072</v>
      </c>
      <c r="E207" s="23" t="n">
        <v>7181.54829379592</v>
      </c>
      <c r="F207" s="23" t="n">
        <f aca="false">D207-E207</f>
        <v>1890.45170620408</v>
      </c>
      <c r="G207" s="24" t="n">
        <f aca="false">IF(E207&gt;0,D207/E207-1,"")</f>
        <v>0.263237345049566</v>
      </c>
      <c r="H207" s="3" t="str">
        <f aca="false">IF(MAX(D207,E207)&lt;Parametros!$B$16,"",IF(E207=0,"PIDE SIN FCST",IF(ABS(G207)&gt;Parametros!$B$14,IF(G207&gt;0,"SOBRE FCST","BAJO FCST"),"")))</f>
        <v>SOBRE FCST</v>
      </c>
    </row>
    <row r="208" customFormat="false" ht="15" hidden="false" customHeight="false" outlineLevel="0" collapsed="false">
      <c r="A208" s="3" t="n">
        <v>30000398</v>
      </c>
      <c r="B208" s="3" t="s">
        <v>221</v>
      </c>
      <c r="C208" s="3" t="s">
        <v>453</v>
      </c>
      <c r="D208" s="23" t="n">
        <v>3174</v>
      </c>
      <c r="E208" s="23" t="n">
        <v>1291.4247298301</v>
      </c>
      <c r="F208" s="23" t="n">
        <f aca="false">D208-E208</f>
        <v>1882.5752701699</v>
      </c>
      <c r="G208" s="24" t="n">
        <f aca="false">IF(E208&gt;0,D208/E208-1,"")</f>
        <v>1.45775067387596</v>
      </c>
      <c r="H208" s="3" t="str">
        <f aca="false">IF(MAX(D208,E208)&lt;Parametros!$B$16,"",IF(E208=0,"PIDE SIN FCST",IF(ABS(G208)&gt;Parametros!$B$14,IF(G208&gt;0,"SOBRE FCST","BAJO FCST"),"")))</f>
        <v>SOBRE FCST</v>
      </c>
    </row>
    <row r="209" customFormat="false" ht="15" hidden="false" customHeight="false" outlineLevel="0" collapsed="false">
      <c r="A209" s="3" t="n">
        <v>30002292</v>
      </c>
      <c r="B209" s="3" t="s">
        <v>265</v>
      </c>
      <c r="C209" s="3" t="s">
        <v>455</v>
      </c>
      <c r="D209" s="23" t="n">
        <v>4374</v>
      </c>
      <c r="E209" s="23" t="n">
        <v>2500</v>
      </c>
      <c r="F209" s="23" t="n">
        <f aca="false">D209-E209</f>
        <v>1874</v>
      </c>
      <c r="G209" s="24" t="n">
        <f aca="false">IF(E209&gt;0,D209/E209-1,"")</f>
        <v>0.7496</v>
      </c>
      <c r="H209" s="3" t="str">
        <f aca="false">IF(MAX(D209,E209)&lt;Parametros!$B$16,"",IF(E209=0,"PIDE SIN FCST",IF(ABS(G209)&gt;Parametros!$B$14,IF(G209&gt;0,"SOBRE FCST","BAJO FCST"),"")))</f>
        <v>SOBRE FCST</v>
      </c>
    </row>
    <row r="210" customFormat="false" ht="15" hidden="false" customHeight="false" outlineLevel="0" collapsed="false">
      <c r="A210" s="3" t="n">
        <v>30001684</v>
      </c>
      <c r="B210" s="3" t="s">
        <v>213</v>
      </c>
      <c r="C210" s="3" t="s">
        <v>452</v>
      </c>
      <c r="D210" s="23" t="n">
        <v>552</v>
      </c>
      <c r="E210" s="23" t="n">
        <v>2353.0805</v>
      </c>
      <c r="F210" s="23" t="n">
        <f aca="false">D210-E210</f>
        <v>-1801.0805</v>
      </c>
      <c r="G210" s="24" t="n">
        <f aca="false">IF(E210&gt;0,D210/E210-1,"")</f>
        <v>-0.765413890430013</v>
      </c>
      <c r="H210" s="3" t="str">
        <f aca="false">IF(MAX(D210,E210)&lt;Parametros!$B$16,"",IF(E210=0,"PIDE SIN FCST",IF(ABS(G210)&gt;Parametros!$B$14,IF(G210&gt;0,"SOBRE FCST","BAJO FCST"),"")))</f>
        <v>BAJO FCST</v>
      </c>
    </row>
    <row r="211" customFormat="false" ht="15" hidden="false" customHeight="false" outlineLevel="0" collapsed="false">
      <c r="A211" s="3" t="n">
        <v>30002269</v>
      </c>
      <c r="B211" s="3" t="s">
        <v>281</v>
      </c>
      <c r="C211" s="3" t="s">
        <v>450</v>
      </c>
      <c r="D211" s="23" t="n">
        <v>4158</v>
      </c>
      <c r="E211" s="23" t="n">
        <v>2381.68</v>
      </c>
      <c r="F211" s="23" t="n">
        <f aca="false">D211-E211</f>
        <v>1776.32</v>
      </c>
      <c r="G211" s="24" t="n">
        <f aca="false">IF(E211&gt;0,D211/E211-1,"")</f>
        <v>0.745826475429109</v>
      </c>
      <c r="H211" s="3" t="str">
        <f aca="false">IF(MAX(D211,E211)&lt;Parametros!$B$16,"",IF(E211=0,"PIDE SIN FCST",IF(ABS(G211)&gt;Parametros!$B$14,IF(G211&gt;0,"SOBRE FCST","BAJO FCST"),"")))</f>
        <v>SOBRE FCST</v>
      </c>
    </row>
    <row r="212" customFormat="false" ht="15" hidden="false" customHeight="false" outlineLevel="0" collapsed="false">
      <c r="A212" s="3" t="n">
        <v>30000543</v>
      </c>
      <c r="B212" s="3" t="s">
        <v>258</v>
      </c>
      <c r="C212" s="3" t="s">
        <v>455</v>
      </c>
      <c r="D212" s="23" t="n">
        <v>930</v>
      </c>
      <c r="E212" s="23" t="n">
        <v>2700</v>
      </c>
      <c r="F212" s="23" t="n">
        <f aca="false">D212-E212</f>
        <v>-1770</v>
      </c>
      <c r="G212" s="24" t="n">
        <f aca="false">IF(E212&gt;0,D212/E212-1,"")</f>
        <v>-0.655555555555556</v>
      </c>
      <c r="H212" s="3" t="str">
        <f aca="false">IF(MAX(D212,E212)&lt;Parametros!$B$16,"",IF(E212=0,"PIDE SIN FCST",IF(ABS(G212)&gt;Parametros!$B$14,IF(G212&gt;0,"SOBRE FCST","BAJO FCST"),"")))</f>
        <v>BAJO FCST</v>
      </c>
    </row>
    <row r="213" customFormat="false" ht="15" hidden="false" customHeight="false" outlineLevel="0" collapsed="false">
      <c r="A213" s="3" t="n">
        <v>30000514</v>
      </c>
      <c r="B213" s="3" t="s">
        <v>204</v>
      </c>
      <c r="C213" s="3" t="s">
        <v>453</v>
      </c>
      <c r="D213" s="23" t="n">
        <v>6408</v>
      </c>
      <c r="E213" s="23" t="n">
        <v>4647.61</v>
      </c>
      <c r="F213" s="23" t="n">
        <f aca="false">D213-E213</f>
        <v>1760.39</v>
      </c>
      <c r="G213" s="24" t="n">
        <f aca="false">IF(E213&gt;0,D213/E213-1,"")</f>
        <v>0.378773175890404</v>
      </c>
      <c r="H213" s="3" t="str">
        <f aca="false">IF(MAX(D213,E213)&lt;Parametros!$B$16,"",IF(E213=0,"PIDE SIN FCST",IF(ABS(G213)&gt;Parametros!$B$14,IF(G213&gt;0,"SOBRE FCST","BAJO FCST"),"")))</f>
        <v>SOBRE FCST</v>
      </c>
    </row>
    <row r="214" customFormat="false" ht="15" hidden="false" customHeight="false" outlineLevel="0" collapsed="false">
      <c r="A214" s="3" t="n">
        <v>30001895</v>
      </c>
      <c r="B214" s="3" t="s">
        <v>234</v>
      </c>
      <c r="C214" s="3" t="s">
        <v>450</v>
      </c>
      <c r="D214" s="23" t="n">
        <v>6247.2</v>
      </c>
      <c r="E214" s="23" t="n">
        <v>8000</v>
      </c>
      <c r="F214" s="23" t="n">
        <f aca="false">D214-E214</f>
        <v>-1752.8</v>
      </c>
      <c r="G214" s="24" t="n">
        <f aca="false">IF(E214&gt;0,D214/E214-1,"")</f>
        <v>-0.2191</v>
      </c>
      <c r="H214" s="3" t="str">
        <f aca="false">IF(MAX(D214,E214)&lt;Parametros!$B$16,"",IF(E214=0,"PIDE SIN FCST",IF(ABS(G214)&gt;Parametros!$B$14,IF(G214&gt;0,"SOBRE FCST","BAJO FCST"),"")))</f>
        <v>BAJO FCST</v>
      </c>
    </row>
    <row r="215" customFormat="false" ht="15" hidden="false" customHeight="false" outlineLevel="0" collapsed="false">
      <c r="A215" s="3" t="n">
        <v>30002359</v>
      </c>
      <c r="B215" s="3" t="s">
        <v>251</v>
      </c>
      <c r="C215" s="3" t="s">
        <v>453</v>
      </c>
      <c r="D215" s="23" t="n">
        <v>2286</v>
      </c>
      <c r="E215" s="23" t="n">
        <v>557.453963267279</v>
      </c>
      <c r="F215" s="23" t="n">
        <f aca="false">D215-E215</f>
        <v>1728.54603673272</v>
      </c>
      <c r="G215" s="24" t="n">
        <f aca="false">IF(E215&gt;0,D215/E215-1,"")</f>
        <v>3.10078706159265</v>
      </c>
      <c r="H215" s="3" t="str">
        <f aca="false">IF(MAX(D215,E215)&lt;Parametros!$B$16,"",IF(E215=0,"PIDE SIN FCST",IF(ABS(G215)&gt;Parametros!$B$14,IF(G215&gt;0,"SOBRE FCST","BAJO FCST"),"")))</f>
        <v>SOBRE FCST</v>
      </c>
    </row>
    <row r="216" customFormat="false" ht="15" hidden="false" customHeight="false" outlineLevel="0" collapsed="false">
      <c r="A216" s="3" t="n">
        <v>30000353</v>
      </c>
      <c r="B216" s="3" t="s">
        <v>191</v>
      </c>
      <c r="C216" s="3" t="s">
        <v>450</v>
      </c>
      <c r="D216" s="23" t="n">
        <v>152328</v>
      </c>
      <c r="E216" s="23" t="n">
        <v>154000</v>
      </c>
      <c r="F216" s="23" t="n">
        <f aca="false">D216-E216</f>
        <v>-1672</v>
      </c>
      <c r="G216" s="24" t="n">
        <f aca="false">IF(E216&gt;0,D216/E216-1,"")</f>
        <v>-0.0108571428571429</v>
      </c>
      <c r="H216" s="3" t="str">
        <f aca="false">IF(MAX(D216,E216)&lt;Parametros!$B$16,"",IF(E216=0,"PIDE SIN FCST",IF(ABS(G216)&gt;Parametros!$B$14,IF(G216&gt;0,"SOBRE FCST","BAJO FCST"),"")))</f>
        <v/>
      </c>
    </row>
    <row r="217" customFormat="false" ht="15" hidden="false" customHeight="false" outlineLevel="0" collapsed="false">
      <c r="A217" s="3" t="n">
        <v>30000300</v>
      </c>
      <c r="B217" s="3" t="s">
        <v>219</v>
      </c>
      <c r="C217" s="3" t="s">
        <v>452</v>
      </c>
      <c r="D217" s="23" t="n">
        <v>2574</v>
      </c>
      <c r="E217" s="23" t="n">
        <v>4245.82860639289</v>
      </c>
      <c r="F217" s="23" t="n">
        <f aca="false">D217-E217</f>
        <v>-1671.82860639289</v>
      </c>
      <c r="G217" s="24" t="n">
        <f aca="false">IF(E217&gt;0,D217/E217-1,"")</f>
        <v>-0.393757911912797</v>
      </c>
      <c r="H217" s="3" t="str">
        <f aca="false">IF(MAX(D217,E217)&lt;Parametros!$B$16,"",IF(E217=0,"PIDE SIN FCST",IF(ABS(G217)&gt;Parametros!$B$14,IF(G217&gt;0,"SOBRE FCST","BAJO FCST"),"")))</f>
        <v>BAJO FCST</v>
      </c>
    </row>
    <row r="218" customFormat="false" ht="15" hidden="false" customHeight="false" outlineLevel="0" collapsed="false">
      <c r="A218" s="3" t="n">
        <v>30000398</v>
      </c>
      <c r="B218" s="3" t="s">
        <v>221</v>
      </c>
      <c r="C218" s="3" t="s">
        <v>450</v>
      </c>
      <c r="D218" s="23" t="n">
        <v>9270</v>
      </c>
      <c r="E218" s="23" t="n">
        <v>7600</v>
      </c>
      <c r="F218" s="23" t="n">
        <f aca="false">D218-E218</f>
        <v>1670</v>
      </c>
      <c r="G218" s="24" t="n">
        <f aca="false">IF(E218&gt;0,D218/E218-1,"")</f>
        <v>0.219736842105263</v>
      </c>
      <c r="H218" s="3" t="str">
        <f aca="false">IF(MAX(D218,E218)&lt;Parametros!$B$16,"",IF(E218=0,"PIDE SIN FCST",IF(ABS(G218)&gt;Parametros!$B$14,IF(G218&gt;0,"SOBRE FCST","BAJO FCST"),"")))</f>
        <v>SOBRE FCST</v>
      </c>
    </row>
    <row r="219" customFormat="false" ht="15" hidden="false" customHeight="false" outlineLevel="0" collapsed="false">
      <c r="A219" s="3" t="n">
        <v>30002076</v>
      </c>
      <c r="B219" s="3" t="s">
        <v>270</v>
      </c>
      <c r="C219" s="3" t="s">
        <v>448</v>
      </c>
      <c r="D219" s="23" t="n">
        <v>144</v>
      </c>
      <c r="E219" s="23" t="n">
        <v>1799.37416666667</v>
      </c>
      <c r="F219" s="23" t="n">
        <f aca="false">D219-E219</f>
        <v>-1655.37416666667</v>
      </c>
      <c r="G219" s="24" t="n">
        <f aca="false">IF(E219&gt;0,D219/E219-1,"")</f>
        <v>-0.919972175511023</v>
      </c>
      <c r="H219" s="3" t="str">
        <f aca="false">IF(MAX(D219,E219)&lt;Parametros!$B$16,"",IF(E219=0,"PIDE SIN FCST",IF(ABS(G219)&gt;Parametros!$B$14,IF(G219&gt;0,"SOBRE FCST","BAJO FCST"),"")))</f>
        <v>BAJO FCST</v>
      </c>
    </row>
    <row r="220" customFormat="false" ht="15" hidden="false" customHeight="false" outlineLevel="0" collapsed="false">
      <c r="A220" s="3" t="n">
        <v>30000207</v>
      </c>
      <c r="B220" s="3" t="s">
        <v>222</v>
      </c>
      <c r="C220" s="3" t="s">
        <v>450</v>
      </c>
      <c r="D220" s="23" t="n">
        <v>11880</v>
      </c>
      <c r="E220" s="23" t="n">
        <v>13535.3266152446</v>
      </c>
      <c r="F220" s="23" t="n">
        <f aca="false">D220-E220</f>
        <v>-1655.3266152446</v>
      </c>
      <c r="G220" s="24" t="n">
        <f aca="false">IF(E220&gt;0,D220/E220-1,"")</f>
        <v>-0.122296761821782</v>
      </c>
      <c r="H220" s="3" t="str">
        <f aca="false">IF(MAX(D220,E220)&lt;Parametros!$B$16,"",IF(E220=0,"PIDE SIN FCST",IF(ABS(G220)&gt;Parametros!$B$14,IF(G220&gt;0,"SOBRE FCST","BAJO FCST"),"")))</f>
        <v/>
      </c>
    </row>
    <row r="221" customFormat="false" ht="15" hidden="false" customHeight="false" outlineLevel="0" collapsed="false">
      <c r="A221" s="3" t="n">
        <v>30002272</v>
      </c>
      <c r="B221" s="3" t="s">
        <v>242</v>
      </c>
      <c r="C221" s="3" t="s">
        <v>454</v>
      </c>
      <c r="D221" s="23" t="n">
        <v>2574</v>
      </c>
      <c r="E221" s="23" t="n">
        <v>934</v>
      </c>
      <c r="F221" s="23" t="n">
        <f aca="false">D221-E221</f>
        <v>1640</v>
      </c>
      <c r="G221" s="24" t="n">
        <f aca="false">IF(E221&gt;0,D221/E221-1,"")</f>
        <v>1.7558886509636</v>
      </c>
      <c r="H221" s="3" t="str">
        <f aca="false">IF(MAX(D221,E221)&lt;Parametros!$B$16,"",IF(E221=0,"PIDE SIN FCST",IF(ABS(G221)&gt;Parametros!$B$14,IF(G221&gt;0,"SOBRE FCST","BAJO FCST"),"")))</f>
        <v>SOBRE FCST</v>
      </c>
    </row>
    <row r="222" customFormat="false" ht="15" hidden="false" customHeight="false" outlineLevel="0" collapsed="false">
      <c r="A222" s="3" t="n">
        <v>30000514</v>
      </c>
      <c r="B222" s="3" t="s">
        <v>204</v>
      </c>
      <c r="C222" s="3" t="s">
        <v>448</v>
      </c>
      <c r="D222" s="23" t="n">
        <v>7608</v>
      </c>
      <c r="E222" s="23" t="n">
        <v>9241.25</v>
      </c>
      <c r="F222" s="23" t="n">
        <f aca="false">D222-E222</f>
        <v>-1633.25</v>
      </c>
      <c r="G222" s="24" t="n">
        <f aca="false">IF(E222&gt;0,D222/E222-1,"")</f>
        <v>-0.176734749086974</v>
      </c>
      <c r="H222" s="3" t="str">
        <f aca="false">IF(MAX(D222,E222)&lt;Parametros!$B$16,"",IF(E222=0,"PIDE SIN FCST",IF(ABS(G222)&gt;Parametros!$B$14,IF(G222&gt;0,"SOBRE FCST","BAJO FCST"),"")))</f>
        <v/>
      </c>
    </row>
    <row r="223" customFormat="false" ht="15" hidden="false" customHeight="false" outlineLevel="0" collapsed="false">
      <c r="A223" s="3" t="n">
        <v>30000318</v>
      </c>
      <c r="B223" s="3" t="s">
        <v>224</v>
      </c>
      <c r="C223" s="3" t="s">
        <v>447</v>
      </c>
      <c r="D223" s="23" t="n">
        <v>3456</v>
      </c>
      <c r="E223" s="23" t="n">
        <v>5085.45</v>
      </c>
      <c r="F223" s="23" t="n">
        <f aca="false">D223-E223</f>
        <v>-1629.45</v>
      </c>
      <c r="G223" s="24" t="n">
        <f aca="false">IF(E223&gt;0,D223/E223-1,"")</f>
        <v>-0.320414122644014</v>
      </c>
      <c r="H223" s="3" t="str">
        <f aca="false">IF(MAX(D223,E223)&lt;Parametros!$B$16,"",IF(E223=0,"PIDE SIN FCST",IF(ABS(G223)&gt;Parametros!$B$14,IF(G223&gt;0,"SOBRE FCST","BAJO FCST"),"")))</f>
        <v>BAJO FCST</v>
      </c>
    </row>
    <row r="224" customFormat="false" ht="15" hidden="false" customHeight="false" outlineLevel="0" collapsed="false">
      <c r="A224" s="3" t="n">
        <v>30000207</v>
      </c>
      <c r="B224" s="3" t="s">
        <v>222</v>
      </c>
      <c r="C224" s="3" t="s">
        <v>453</v>
      </c>
      <c r="D224" s="23" t="n">
        <v>5178</v>
      </c>
      <c r="E224" s="23" t="n">
        <v>3550.4</v>
      </c>
      <c r="F224" s="23" t="n">
        <f aca="false">D224-E224</f>
        <v>1627.6</v>
      </c>
      <c r="G224" s="24" t="n">
        <f aca="false">IF(E224&gt;0,D224/E224-1,"")</f>
        <v>0.458427219468229</v>
      </c>
      <c r="H224" s="3" t="str">
        <f aca="false">IF(MAX(D224,E224)&lt;Parametros!$B$16,"",IF(E224=0,"PIDE SIN FCST",IF(ABS(G224)&gt;Parametros!$B$14,IF(G224&gt;0,"SOBRE FCST","BAJO FCST"),"")))</f>
        <v>SOBRE FCST</v>
      </c>
    </row>
    <row r="225" customFormat="false" ht="15" hidden="false" customHeight="false" outlineLevel="0" collapsed="false">
      <c r="A225" s="3" t="n">
        <v>30002285</v>
      </c>
      <c r="B225" s="3" t="s">
        <v>286</v>
      </c>
      <c r="C225" s="3" t="s">
        <v>448</v>
      </c>
      <c r="D225" s="23" t="n">
        <v>744</v>
      </c>
      <c r="E225" s="23" t="n">
        <v>2354.875</v>
      </c>
      <c r="F225" s="23" t="n">
        <f aca="false">D225-E225</f>
        <v>-1610.875</v>
      </c>
      <c r="G225" s="24" t="n">
        <f aca="false">IF(E225&gt;0,D225/E225-1,"")</f>
        <v>-0.684059663464091</v>
      </c>
      <c r="H225" s="3" t="str">
        <f aca="false">IF(MAX(D225,E225)&lt;Parametros!$B$16,"",IF(E225=0,"PIDE SIN FCST",IF(ABS(G225)&gt;Parametros!$B$14,IF(G225&gt;0,"SOBRE FCST","BAJO FCST"),"")))</f>
        <v>BAJO FCST</v>
      </c>
    </row>
    <row r="226" customFormat="false" ht="15" hidden="false" customHeight="false" outlineLevel="0" collapsed="false">
      <c r="A226" s="3" t="n">
        <v>30000245</v>
      </c>
      <c r="B226" s="3" t="s">
        <v>250</v>
      </c>
      <c r="C226" s="3" t="s">
        <v>448</v>
      </c>
      <c r="D226" s="23" t="n">
        <v>8316</v>
      </c>
      <c r="E226" s="23" t="n">
        <v>9923.58333333333</v>
      </c>
      <c r="F226" s="23" t="n">
        <f aca="false">D226-E226</f>
        <v>-1607.58333333333</v>
      </c>
      <c r="G226" s="24" t="n">
        <f aca="false">IF(E226&gt;0,D226/E226-1,"")</f>
        <v>-0.161996254713099</v>
      </c>
      <c r="H226" s="3" t="str">
        <f aca="false">IF(MAX(D226,E226)&lt;Parametros!$B$16,"",IF(E226=0,"PIDE SIN FCST",IF(ABS(G226)&gt;Parametros!$B$14,IF(G226&gt;0,"SOBRE FCST","BAJO FCST"),"")))</f>
        <v/>
      </c>
    </row>
    <row r="227" customFormat="false" ht="15" hidden="false" customHeight="false" outlineLevel="0" collapsed="false">
      <c r="A227" s="3" t="n">
        <v>30000308</v>
      </c>
      <c r="B227" s="3" t="s">
        <v>274</v>
      </c>
      <c r="C227" s="3" t="s">
        <v>448</v>
      </c>
      <c r="D227" s="23" t="n">
        <v>4740</v>
      </c>
      <c r="E227" s="23" t="n">
        <v>6332.1</v>
      </c>
      <c r="F227" s="23" t="n">
        <f aca="false">D227-E227</f>
        <v>-1592.1</v>
      </c>
      <c r="G227" s="24" t="n">
        <f aca="false">IF(E227&gt;0,D227/E227-1,"")</f>
        <v>-0.251433173828588</v>
      </c>
      <c r="H227" s="3" t="str">
        <f aca="false">IF(MAX(D227,E227)&lt;Parametros!$B$16,"",IF(E227=0,"PIDE SIN FCST",IF(ABS(G227)&gt;Parametros!$B$14,IF(G227&gt;0,"SOBRE FCST","BAJO FCST"),"")))</f>
        <v>BAJO FCST</v>
      </c>
    </row>
    <row r="228" customFormat="false" ht="15" hidden="false" customHeight="false" outlineLevel="0" collapsed="false">
      <c r="A228" s="3" t="n">
        <v>30002330</v>
      </c>
      <c r="B228" s="3" t="s">
        <v>215</v>
      </c>
      <c r="C228" s="3" t="s">
        <v>450</v>
      </c>
      <c r="D228" s="23" t="n">
        <v>9084</v>
      </c>
      <c r="E228" s="23" t="n">
        <v>7500</v>
      </c>
      <c r="F228" s="23" t="n">
        <f aca="false">D228-E228</f>
        <v>1584</v>
      </c>
      <c r="G228" s="24" t="n">
        <f aca="false">IF(E228&gt;0,D228/E228-1,"")</f>
        <v>0.2112</v>
      </c>
      <c r="H228" s="3" t="str">
        <f aca="false">IF(MAX(D228,E228)&lt;Parametros!$B$16,"",IF(E228=0,"PIDE SIN FCST",IF(ABS(G228)&gt;Parametros!$B$14,IF(G228&gt;0,"SOBRE FCST","BAJO FCST"),"")))</f>
        <v>SOBRE FCST</v>
      </c>
    </row>
    <row r="229" customFormat="false" ht="15" hidden="false" customHeight="false" outlineLevel="0" collapsed="false">
      <c r="A229" s="3" t="n">
        <v>30000308</v>
      </c>
      <c r="B229" s="3" t="s">
        <v>274</v>
      </c>
      <c r="C229" s="3" t="s">
        <v>451</v>
      </c>
      <c r="D229" s="23" t="n">
        <v>1578</v>
      </c>
      <c r="E229" s="23" t="n">
        <v>0</v>
      </c>
      <c r="F229" s="23" t="n">
        <f aca="false">D229-E229</f>
        <v>1578</v>
      </c>
      <c r="G229" s="24" t="str">
        <f aca="false">IF(E229&gt;0,D229/E229-1,"")</f>
        <v/>
      </c>
      <c r="H229" s="3" t="str">
        <f aca="false">IF(MAX(D229,E229)&lt;Parametros!$B$16,"",IF(E229=0,"PIDE SIN FCST",IF(ABS(G229)&gt;Parametros!$B$14,IF(G229&gt;0,"SOBRE FCST","BAJO FCST"),"")))</f>
        <v>PIDE SIN FCST</v>
      </c>
    </row>
    <row r="230" customFormat="false" ht="15" hidden="false" customHeight="false" outlineLevel="0" collapsed="false">
      <c r="A230" s="3" t="n">
        <v>30002262</v>
      </c>
      <c r="B230" s="3" t="s">
        <v>275</v>
      </c>
      <c r="C230" s="3" t="s">
        <v>455</v>
      </c>
      <c r="D230" s="23" t="n">
        <v>3577.65</v>
      </c>
      <c r="E230" s="23" t="n">
        <v>2000</v>
      </c>
      <c r="F230" s="23" t="n">
        <f aca="false">D230-E230</f>
        <v>1577.65</v>
      </c>
      <c r="G230" s="24" t="n">
        <f aca="false">IF(E230&gt;0,D230/E230-1,"")</f>
        <v>0.788825</v>
      </c>
      <c r="H230" s="3" t="str">
        <f aca="false">IF(MAX(D230,E230)&lt;Parametros!$B$16,"",IF(E230=0,"PIDE SIN FCST",IF(ABS(G230)&gt;Parametros!$B$14,IF(G230&gt;0,"SOBRE FCST","BAJO FCST"),"")))</f>
        <v>SOBRE FCST</v>
      </c>
    </row>
    <row r="231" customFormat="false" ht="15" hidden="false" customHeight="false" outlineLevel="0" collapsed="false">
      <c r="A231" s="3" t="n">
        <v>30001410</v>
      </c>
      <c r="B231" s="3" t="s">
        <v>229</v>
      </c>
      <c r="C231" s="3" t="s">
        <v>447</v>
      </c>
      <c r="D231" s="23" t="n">
        <v>5590.08</v>
      </c>
      <c r="E231" s="23" t="n">
        <v>4029.32</v>
      </c>
      <c r="F231" s="23" t="n">
        <f aca="false">D231-E231</f>
        <v>1560.76</v>
      </c>
      <c r="G231" s="24" t="n">
        <f aca="false">IF(E231&gt;0,D231/E231-1,"")</f>
        <v>0.387350719228058</v>
      </c>
      <c r="H231" s="3" t="str">
        <f aca="false">IF(MAX(D231,E231)&lt;Parametros!$B$16,"",IF(E231=0,"PIDE SIN FCST",IF(ABS(G231)&gt;Parametros!$B$14,IF(G231&gt;0,"SOBRE FCST","BAJO FCST"),"")))</f>
        <v>SOBRE FCST</v>
      </c>
    </row>
    <row r="232" customFormat="false" ht="15" hidden="false" customHeight="false" outlineLevel="0" collapsed="false">
      <c r="A232" s="3" t="n">
        <v>30000010</v>
      </c>
      <c r="B232" s="3" t="s">
        <v>232</v>
      </c>
      <c r="C232" s="3" t="s">
        <v>448</v>
      </c>
      <c r="D232" s="23" t="n">
        <v>1056</v>
      </c>
      <c r="E232" s="23" t="n">
        <v>2605.54166666667</v>
      </c>
      <c r="F232" s="23" t="n">
        <f aca="false">D232-E232</f>
        <v>-1549.54166666667</v>
      </c>
      <c r="G232" s="24" t="n">
        <f aca="false">IF(E232&gt;0,D232/E232-1,"")</f>
        <v>-0.594709993123631</v>
      </c>
      <c r="H232" s="3" t="str">
        <f aca="false">IF(MAX(D232,E232)&lt;Parametros!$B$16,"",IF(E232=0,"PIDE SIN FCST",IF(ABS(G232)&gt;Parametros!$B$14,IF(G232&gt;0,"SOBRE FCST","BAJO FCST"),"")))</f>
        <v>BAJO FCST</v>
      </c>
    </row>
    <row r="233" customFormat="false" ht="15" hidden="false" customHeight="false" outlineLevel="0" collapsed="false">
      <c r="A233" s="3" t="n">
        <v>30000305</v>
      </c>
      <c r="B233" s="3" t="s">
        <v>207</v>
      </c>
      <c r="C233" s="3" t="s">
        <v>453</v>
      </c>
      <c r="D233" s="23" t="n">
        <v>3648</v>
      </c>
      <c r="E233" s="23" t="n">
        <v>2107.97573254467</v>
      </c>
      <c r="F233" s="23" t="n">
        <f aca="false">D233-E233</f>
        <v>1540.02426745533</v>
      </c>
      <c r="G233" s="24" t="n">
        <f aca="false">IF(E233&gt;0,D233/E233-1,"")</f>
        <v>0.730570207085008</v>
      </c>
      <c r="H233" s="3" t="str">
        <f aca="false">IF(MAX(D233,E233)&lt;Parametros!$B$16,"",IF(E233=0,"PIDE SIN FCST",IF(ABS(G233)&gt;Parametros!$B$14,IF(G233&gt;0,"SOBRE FCST","BAJO FCST"),"")))</f>
        <v>SOBRE FCST</v>
      </c>
    </row>
    <row r="234" customFormat="false" ht="15" hidden="false" customHeight="false" outlineLevel="0" collapsed="false">
      <c r="A234" s="3" t="n">
        <v>30002329</v>
      </c>
      <c r="B234" s="3" t="s">
        <v>206</v>
      </c>
      <c r="C234" s="3" t="s">
        <v>453</v>
      </c>
      <c r="D234" s="23" t="n">
        <v>4080</v>
      </c>
      <c r="E234" s="23" t="n">
        <v>2582</v>
      </c>
      <c r="F234" s="23" t="n">
        <f aca="false">D234-E234</f>
        <v>1498</v>
      </c>
      <c r="G234" s="24" t="n">
        <f aca="false">IF(E234&gt;0,D234/E234-1,"")</f>
        <v>0.580170410534469</v>
      </c>
      <c r="H234" s="3" t="str">
        <f aca="false">IF(MAX(D234,E234)&lt;Parametros!$B$16,"",IF(E234=0,"PIDE SIN FCST",IF(ABS(G234)&gt;Parametros!$B$14,IF(G234&gt;0,"SOBRE FCST","BAJO FCST"),"")))</f>
        <v>SOBRE FCST</v>
      </c>
    </row>
    <row r="235" customFormat="false" ht="15" hidden="false" customHeight="false" outlineLevel="0" collapsed="false">
      <c r="A235" s="3" t="n">
        <v>30000246</v>
      </c>
      <c r="B235" s="3" t="s">
        <v>257</v>
      </c>
      <c r="C235" s="3" t="s">
        <v>448</v>
      </c>
      <c r="D235" s="23" t="n">
        <v>9900</v>
      </c>
      <c r="E235" s="23" t="n">
        <v>11369.1416666667</v>
      </c>
      <c r="F235" s="23" t="n">
        <f aca="false">D235-E235</f>
        <v>-1469.14166666667</v>
      </c>
      <c r="G235" s="24" t="n">
        <f aca="false">IF(E235&gt;0,D235/E235-1,"")</f>
        <v>-0.129221862981448</v>
      </c>
      <c r="H235" s="3" t="str">
        <f aca="false">IF(MAX(D235,E235)&lt;Parametros!$B$16,"",IF(E235=0,"PIDE SIN FCST",IF(ABS(G235)&gt;Parametros!$B$14,IF(G235&gt;0,"SOBRE FCST","BAJO FCST"),"")))</f>
        <v/>
      </c>
    </row>
    <row r="236" customFormat="false" ht="15" hidden="false" customHeight="false" outlineLevel="0" collapsed="false">
      <c r="A236" s="3" t="n">
        <v>30001409</v>
      </c>
      <c r="B236" s="3" t="s">
        <v>211</v>
      </c>
      <c r="C236" s="3" t="s">
        <v>448</v>
      </c>
      <c r="D236" s="23" t="n">
        <v>9231</v>
      </c>
      <c r="E236" s="23" t="n">
        <v>10680.47</v>
      </c>
      <c r="F236" s="23" t="n">
        <f aca="false">D236-E236</f>
        <v>-1449.47</v>
      </c>
      <c r="G236" s="24" t="n">
        <f aca="false">IF(E236&gt;0,D236/E236-1,"")</f>
        <v>-0.135712192440969</v>
      </c>
      <c r="H236" s="3" t="str">
        <f aca="false">IF(MAX(D236,E236)&lt;Parametros!$B$16,"",IF(E236=0,"PIDE SIN FCST",IF(ABS(G236)&gt;Parametros!$B$14,IF(G236&gt;0,"SOBRE FCST","BAJO FCST"),"")))</f>
        <v/>
      </c>
    </row>
    <row r="237" customFormat="false" ht="15" hidden="false" customHeight="false" outlineLevel="0" collapsed="false">
      <c r="A237" s="3" t="n">
        <v>30000347</v>
      </c>
      <c r="B237" s="3" t="s">
        <v>227</v>
      </c>
      <c r="C237" s="3" t="s">
        <v>453</v>
      </c>
      <c r="D237" s="23" t="n">
        <v>486</v>
      </c>
      <c r="E237" s="23" t="n">
        <v>1924.82924247645</v>
      </c>
      <c r="F237" s="23" t="n">
        <f aca="false">D237-E237</f>
        <v>-1438.82924247645</v>
      </c>
      <c r="G237" s="24" t="n">
        <f aca="false">IF(E237&gt;0,D237/E237-1,"")</f>
        <v>-0.747510070360984</v>
      </c>
      <c r="H237" s="3" t="str">
        <f aca="false">IF(MAX(D237,E237)&lt;Parametros!$B$16,"",IF(E237=0,"PIDE SIN FCST",IF(ABS(G237)&gt;Parametros!$B$14,IF(G237&gt;0,"SOBRE FCST","BAJO FCST"),"")))</f>
        <v>BAJO FCST</v>
      </c>
    </row>
    <row r="238" customFormat="false" ht="15" hidden="false" customHeight="false" outlineLevel="0" collapsed="false">
      <c r="A238" s="3" t="n">
        <v>30000300</v>
      </c>
      <c r="B238" s="3" t="s">
        <v>219</v>
      </c>
      <c r="C238" s="3" t="s">
        <v>455</v>
      </c>
      <c r="D238" s="23" t="n">
        <v>16416</v>
      </c>
      <c r="E238" s="23" t="n">
        <v>14980.6</v>
      </c>
      <c r="F238" s="23" t="n">
        <f aca="false">D238-E238</f>
        <v>1435.4</v>
      </c>
      <c r="G238" s="24" t="n">
        <f aca="false">IF(E238&gt;0,D238/E238-1,"")</f>
        <v>0.0958172569857014</v>
      </c>
      <c r="H238" s="3" t="str">
        <f aca="false">IF(MAX(D238,E238)&lt;Parametros!$B$16,"",IF(E238=0,"PIDE SIN FCST",IF(ABS(G238)&gt;Parametros!$B$14,IF(G238&gt;0,"SOBRE FCST","BAJO FCST"),"")))</f>
        <v/>
      </c>
    </row>
    <row r="239" customFormat="false" ht="15" hidden="false" customHeight="false" outlineLevel="0" collapsed="false">
      <c r="A239" s="3" t="n">
        <v>30000351</v>
      </c>
      <c r="B239" s="3" t="s">
        <v>249</v>
      </c>
      <c r="C239" s="3" t="s">
        <v>455</v>
      </c>
      <c r="D239" s="23" t="n">
        <v>1872</v>
      </c>
      <c r="E239" s="23" t="n">
        <v>440.331698634076</v>
      </c>
      <c r="F239" s="23" t="n">
        <f aca="false">D239-E239</f>
        <v>1431.66830136592</v>
      </c>
      <c r="G239" s="24" t="n">
        <f aca="false">IF(E239&gt;0,D239/E239-1,"")</f>
        <v>3.25134053670678</v>
      </c>
      <c r="H239" s="3" t="str">
        <f aca="false">IF(MAX(D239,E239)&lt;Parametros!$B$16,"",IF(E239=0,"PIDE SIN FCST",IF(ABS(G239)&gt;Parametros!$B$14,IF(G239&gt;0,"SOBRE FCST","BAJO FCST"),"")))</f>
        <v>SOBRE FCST</v>
      </c>
    </row>
    <row r="240" customFormat="false" ht="15" hidden="false" customHeight="false" outlineLevel="0" collapsed="false">
      <c r="A240" s="3" t="n">
        <v>30000401</v>
      </c>
      <c r="B240" s="3" t="s">
        <v>198</v>
      </c>
      <c r="C240" s="3" t="s">
        <v>453</v>
      </c>
      <c r="D240" s="23" t="n">
        <v>2286</v>
      </c>
      <c r="E240" s="23" t="n">
        <v>857.786738996265</v>
      </c>
      <c r="F240" s="23" t="n">
        <f aca="false">D240-E240</f>
        <v>1428.21326100374</v>
      </c>
      <c r="G240" s="24" t="n">
        <f aca="false">IF(E240&gt;0,D240/E240-1,"")</f>
        <v>1.66499806545733</v>
      </c>
      <c r="H240" s="3" t="str">
        <f aca="false">IF(MAX(D240,E240)&lt;Parametros!$B$16,"",IF(E240=0,"PIDE SIN FCST",IF(ABS(G240)&gt;Parametros!$B$14,IF(G240&gt;0,"SOBRE FCST","BAJO FCST"),"")))</f>
        <v>SOBRE FCST</v>
      </c>
    </row>
    <row r="241" customFormat="false" ht="15" hidden="false" customHeight="false" outlineLevel="0" collapsed="false">
      <c r="A241" s="3" t="n">
        <v>30001977</v>
      </c>
      <c r="B241" s="3" t="s">
        <v>220</v>
      </c>
      <c r="C241" s="3" t="s">
        <v>450</v>
      </c>
      <c r="D241" s="23" t="n">
        <v>13422</v>
      </c>
      <c r="E241" s="23" t="n">
        <v>12000</v>
      </c>
      <c r="F241" s="23" t="n">
        <f aca="false">D241-E241</f>
        <v>1422</v>
      </c>
      <c r="G241" s="24" t="n">
        <f aca="false">IF(E241&gt;0,D241/E241-1,"")</f>
        <v>0.1185</v>
      </c>
      <c r="H241" s="3" t="str">
        <f aca="false">IF(MAX(D241,E241)&lt;Parametros!$B$16,"",IF(E241=0,"PIDE SIN FCST",IF(ABS(G241)&gt;Parametros!$B$14,IF(G241&gt;0,"SOBRE FCST","BAJO FCST"),"")))</f>
        <v/>
      </c>
    </row>
    <row r="242" customFormat="false" ht="15" hidden="false" customHeight="false" outlineLevel="0" collapsed="false">
      <c r="A242" s="3" t="n">
        <v>30002273</v>
      </c>
      <c r="B242" s="3" t="s">
        <v>273</v>
      </c>
      <c r="C242" s="3" t="s">
        <v>455</v>
      </c>
      <c r="D242" s="23" t="n">
        <v>2880</v>
      </c>
      <c r="E242" s="23" t="n">
        <v>4300</v>
      </c>
      <c r="F242" s="23" t="n">
        <f aca="false">D242-E242</f>
        <v>-1420</v>
      </c>
      <c r="G242" s="24" t="n">
        <f aca="false">IF(E242&gt;0,D242/E242-1,"")</f>
        <v>-0.330232558139535</v>
      </c>
      <c r="H242" s="3" t="str">
        <f aca="false">IF(MAX(D242,E242)&lt;Parametros!$B$16,"",IF(E242=0,"PIDE SIN FCST",IF(ABS(G242)&gt;Parametros!$B$14,IF(G242&gt;0,"SOBRE FCST","BAJO FCST"),"")))</f>
        <v>BAJO FCST</v>
      </c>
    </row>
    <row r="243" customFormat="false" ht="15" hidden="false" customHeight="false" outlineLevel="0" collapsed="false">
      <c r="A243" s="3" t="n">
        <v>30000309</v>
      </c>
      <c r="B243" s="3" t="s">
        <v>200</v>
      </c>
      <c r="C243" s="3" t="s">
        <v>448</v>
      </c>
      <c r="D243" s="23" t="n">
        <v>52488</v>
      </c>
      <c r="E243" s="23" t="n">
        <v>51078.2</v>
      </c>
      <c r="F243" s="23" t="n">
        <f aca="false">D243-E243</f>
        <v>1409.8</v>
      </c>
      <c r="G243" s="24" t="n">
        <f aca="false">IF(E243&gt;0,D243/E243-1,"")</f>
        <v>0.0276008160036965</v>
      </c>
      <c r="H243" s="3" t="str">
        <f aca="false">IF(MAX(D243,E243)&lt;Parametros!$B$16,"",IF(E243=0,"PIDE SIN FCST",IF(ABS(G243)&gt;Parametros!$B$14,IF(G243&gt;0,"SOBRE FCST","BAJO FCST"),"")))</f>
        <v/>
      </c>
    </row>
    <row r="244" customFormat="false" ht="15" hidden="false" customHeight="false" outlineLevel="0" collapsed="false">
      <c r="A244" s="3" t="n">
        <v>30002099</v>
      </c>
      <c r="B244" s="3" t="s">
        <v>201</v>
      </c>
      <c r="C244" s="3" t="s">
        <v>452</v>
      </c>
      <c r="D244" s="23" t="n">
        <v>1026</v>
      </c>
      <c r="E244" s="23" t="n">
        <v>2402.50167143066</v>
      </c>
      <c r="F244" s="23" t="n">
        <f aca="false">D244-E244</f>
        <v>-1376.50167143066</v>
      </c>
      <c r="G244" s="24" t="n">
        <f aca="false">IF(E244&gt;0,D244/E244-1,"")</f>
        <v>-0.572945146219594</v>
      </c>
      <c r="H244" s="3" t="str">
        <f aca="false">IF(MAX(D244,E244)&lt;Parametros!$B$16,"",IF(E244=0,"PIDE SIN FCST",IF(ABS(G244)&gt;Parametros!$B$14,IF(G244&gt;0,"SOBRE FCST","BAJO FCST"),"")))</f>
        <v>BAJO FCST</v>
      </c>
    </row>
    <row r="245" customFormat="false" ht="15" hidden="false" customHeight="false" outlineLevel="0" collapsed="false">
      <c r="A245" s="3" t="n">
        <v>30002359</v>
      </c>
      <c r="B245" s="3" t="s">
        <v>251</v>
      </c>
      <c r="C245" s="3" t="s">
        <v>448</v>
      </c>
      <c r="D245" s="23" t="n">
        <v>3024</v>
      </c>
      <c r="E245" s="23" t="n">
        <v>4384.725</v>
      </c>
      <c r="F245" s="23" t="n">
        <f aca="false">D245-E245</f>
        <v>-1360.725</v>
      </c>
      <c r="G245" s="24" t="n">
        <f aca="false">IF(E245&gt;0,D245/E245-1,"")</f>
        <v>-0.310333031147906</v>
      </c>
      <c r="H245" s="3" t="str">
        <f aca="false">IF(MAX(D245,E245)&lt;Parametros!$B$16,"",IF(E245=0,"PIDE SIN FCST",IF(ABS(G245)&gt;Parametros!$B$14,IF(G245&gt;0,"SOBRE FCST","BAJO FCST"),"")))</f>
        <v>BAJO FCST</v>
      </c>
    </row>
    <row r="246" customFormat="false" ht="15" hidden="false" customHeight="false" outlineLevel="0" collapsed="false">
      <c r="A246" s="3" t="n">
        <v>30000328</v>
      </c>
      <c r="B246" s="3" t="s">
        <v>241</v>
      </c>
      <c r="C246" s="3" t="s">
        <v>448</v>
      </c>
      <c r="D246" s="23" t="n">
        <v>1536</v>
      </c>
      <c r="E246" s="23" t="n">
        <v>2878.675</v>
      </c>
      <c r="F246" s="23" t="n">
        <f aca="false">D246-E246</f>
        <v>-1342.675</v>
      </c>
      <c r="G246" s="24" t="n">
        <f aca="false">IF(E246&gt;0,D246/E246-1,"")</f>
        <v>-0.466421183356926</v>
      </c>
      <c r="H246" s="3" t="str">
        <f aca="false">IF(MAX(D246,E246)&lt;Parametros!$B$16,"",IF(E246=0,"PIDE SIN FCST",IF(ABS(G246)&gt;Parametros!$B$14,IF(G246&gt;0,"SOBRE FCST","BAJO FCST"),"")))</f>
        <v>BAJO FCST</v>
      </c>
    </row>
    <row r="247" customFormat="false" ht="15" hidden="false" customHeight="false" outlineLevel="0" collapsed="false">
      <c r="A247" s="3" t="n">
        <v>30000401</v>
      </c>
      <c r="B247" s="3" t="s">
        <v>198</v>
      </c>
      <c r="C247" s="3" t="s">
        <v>452</v>
      </c>
      <c r="D247" s="23" t="n">
        <v>1944</v>
      </c>
      <c r="E247" s="23" t="n">
        <v>3274.55171031237</v>
      </c>
      <c r="F247" s="23" t="n">
        <f aca="false">D247-E247</f>
        <v>-1330.55171031237</v>
      </c>
      <c r="G247" s="24" t="n">
        <f aca="false">IF(E247&gt;0,D247/E247-1,"")</f>
        <v>-0.406330950927462</v>
      </c>
      <c r="H247" s="3" t="str">
        <f aca="false">IF(MAX(D247,E247)&lt;Parametros!$B$16,"",IF(E247=0,"PIDE SIN FCST",IF(ABS(G247)&gt;Parametros!$B$14,IF(G247&gt;0,"SOBRE FCST","BAJO FCST"),"")))</f>
        <v>BAJO FCST</v>
      </c>
    </row>
    <row r="248" customFormat="false" ht="15" hidden="false" customHeight="false" outlineLevel="0" collapsed="false">
      <c r="A248" s="3" t="n">
        <v>30000207</v>
      </c>
      <c r="B248" s="3" t="s">
        <v>222</v>
      </c>
      <c r="C248" s="3" t="s">
        <v>448</v>
      </c>
      <c r="D248" s="23" t="n">
        <v>7410</v>
      </c>
      <c r="E248" s="23" t="n">
        <v>6082.95333333333</v>
      </c>
      <c r="F248" s="23" t="n">
        <f aca="false">D248-E248</f>
        <v>1327.04666666667</v>
      </c>
      <c r="G248" s="24" t="n">
        <f aca="false">IF(E248&gt;0,D248/E248-1,"")</f>
        <v>0.218158284955882</v>
      </c>
      <c r="H248" s="3" t="str">
        <f aca="false">IF(MAX(D248,E248)&lt;Parametros!$B$16,"",IF(E248=0,"PIDE SIN FCST",IF(ABS(G248)&gt;Parametros!$B$14,IF(G248&gt;0,"SOBRE FCST","BAJO FCST"),"")))</f>
        <v>SOBRE FCST</v>
      </c>
    </row>
    <row r="249" customFormat="false" ht="15" hidden="false" customHeight="false" outlineLevel="0" collapsed="false">
      <c r="A249" s="3" t="n">
        <v>30000006</v>
      </c>
      <c r="B249" s="3" t="s">
        <v>252</v>
      </c>
      <c r="C249" s="3" t="s">
        <v>453</v>
      </c>
      <c r="D249" s="23" t="n">
        <v>2076</v>
      </c>
      <c r="E249" s="23" t="n">
        <v>768.453087885986</v>
      </c>
      <c r="F249" s="23" t="n">
        <f aca="false">D249-E249</f>
        <v>1307.54691211401</v>
      </c>
      <c r="G249" s="24" t="n">
        <f aca="false">IF(E249&gt;0,D249/E249-1,"")</f>
        <v>1.70153120955122</v>
      </c>
      <c r="H249" s="3" t="str">
        <f aca="false">IF(MAX(D249,E249)&lt;Parametros!$B$16,"",IF(E249=0,"PIDE SIN FCST",IF(ABS(G249)&gt;Parametros!$B$14,IF(G249&gt;0,"SOBRE FCST","BAJO FCST"),"")))</f>
        <v>SOBRE FCST</v>
      </c>
    </row>
    <row r="250" customFormat="false" ht="15" hidden="false" customHeight="false" outlineLevel="0" collapsed="false">
      <c r="A250" s="3" t="n">
        <v>30001924</v>
      </c>
      <c r="B250" s="3" t="s">
        <v>284</v>
      </c>
      <c r="C250" s="3" t="s">
        <v>450</v>
      </c>
      <c r="D250" s="23" t="n">
        <v>2676</v>
      </c>
      <c r="E250" s="23" t="n">
        <v>1369.50168408734</v>
      </c>
      <c r="F250" s="23" t="n">
        <f aca="false">D250-E250</f>
        <v>1306.49831591266</v>
      </c>
      <c r="G250" s="24" t="n">
        <f aca="false">IF(E250&gt;0,D250/E250-1,"")</f>
        <v>0.953995406572523</v>
      </c>
      <c r="H250" s="3" t="str">
        <f aca="false">IF(MAX(D250,E250)&lt;Parametros!$B$16,"",IF(E250=0,"PIDE SIN FCST",IF(ABS(G250)&gt;Parametros!$B$14,IF(G250&gt;0,"SOBRE FCST","BAJO FCST"),"")))</f>
        <v>SOBRE FCST</v>
      </c>
    </row>
    <row r="251" customFormat="false" ht="15" hidden="false" customHeight="false" outlineLevel="0" collapsed="false">
      <c r="A251" s="3" t="n">
        <v>30002180</v>
      </c>
      <c r="B251" s="3" t="s">
        <v>260</v>
      </c>
      <c r="C251" s="3" t="s">
        <v>450</v>
      </c>
      <c r="D251" s="23" t="n">
        <v>2622</v>
      </c>
      <c r="E251" s="23" t="n">
        <v>3916.84215784301</v>
      </c>
      <c r="F251" s="23" t="n">
        <f aca="false">D251-E251</f>
        <v>-1294.84215784301</v>
      </c>
      <c r="G251" s="24" t="n">
        <f aca="false">IF(E251&gt;0,D251/E251-1,"")</f>
        <v>-0.330583185551718</v>
      </c>
      <c r="H251" s="3" t="str">
        <f aca="false">IF(MAX(D251,E251)&lt;Parametros!$B$16,"",IF(E251=0,"PIDE SIN FCST",IF(ABS(G251)&gt;Parametros!$B$14,IF(G251&gt;0,"SOBRE FCST","BAJO FCST"),"")))</f>
        <v>BAJO FCST</v>
      </c>
    </row>
    <row r="252" customFormat="false" ht="15" hidden="false" customHeight="false" outlineLevel="0" collapsed="false">
      <c r="A252" s="3" t="n">
        <v>30002078</v>
      </c>
      <c r="B252" s="3" t="s">
        <v>233</v>
      </c>
      <c r="C252" s="3" t="s">
        <v>453</v>
      </c>
      <c r="D252" s="23" t="n">
        <v>840</v>
      </c>
      <c r="E252" s="23" t="n">
        <v>2129.01270682286</v>
      </c>
      <c r="F252" s="23" t="n">
        <f aca="false">D252-E252</f>
        <v>-1289.01270682285</v>
      </c>
      <c r="G252" s="24" t="n">
        <f aca="false">IF(E252&gt;0,D252/E252-1,"")</f>
        <v>-0.605450922247646</v>
      </c>
      <c r="H252" s="3" t="str">
        <f aca="false">IF(MAX(D252,E252)&lt;Parametros!$B$16,"",IF(E252=0,"PIDE SIN FCST",IF(ABS(G252)&gt;Parametros!$B$14,IF(G252&gt;0,"SOBRE FCST","BAJO FCST"),"")))</f>
        <v>BAJO FCST</v>
      </c>
    </row>
    <row r="253" customFormat="false" ht="15" hidden="false" customHeight="false" outlineLevel="0" collapsed="false">
      <c r="A253" s="3" t="n">
        <v>30000398</v>
      </c>
      <c r="B253" s="3" t="s">
        <v>221</v>
      </c>
      <c r="C253" s="3" t="s">
        <v>454</v>
      </c>
      <c r="D253" s="23" t="n">
        <v>2688</v>
      </c>
      <c r="E253" s="23" t="n">
        <v>1400</v>
      </c>
      <c r="F253" s="23" t="n">
        <f aca="false">D253-E253</f>
        <v>1288</v>
      </c>
      <c r="G253" s="24" t="n">
        <f aca="false">IF(E253&gt;0,D253/E253-1,"")</f>
        <v>0.92</v>
      </c>
      <c r="H253" s="3" t="str">
        <f aca="false">IF(MAX(D253,E253)&lt;Parametros!$B$16,"",IF(E253=0,"PIDE SIN FCST",IF(ABS(G253)&gt;Parametros!$B$14,IF(G253&gt;0,"SOBRE FCST","BAJO FCST"),"")))</f>
        <v>SOBRE FCST</v>
      </c>
    </row>
    <row r="254" customFormat="false" ht="15" hidden="false" customHeight="false" outlineLevel="0" collapsed="false">
      <c r="A254" s="3" t="n">
        <v>30000351</v>
      </c>
      <c r="B254" s="3" t="s">
        <v>249</v>
      </c>
      <c r="C254" s="3" t="s">
        <v>447</v>
      </c>
      <c r="D254" s="23" t="n">
        <v>4092</v>
      </c>
      <c r="E254" s="23" t="n">
        <v>2806.98780072342</v>
      </c>
      <c r="F254" s="23" t="n">
        <f aca="false">D254-E254</f>
        <v>1285.01219927658</v>
      </c>
      <c r="G254" s="24" t="n">
        <f aca="false">IF(E254&gt;0,D254/E254-1,"")</f>
        <v>0.457790446736323</v>
      </c>
      <c r="H254" s="3" t="str">
        <f aca="false">IF(MAX(D254,E254)&lt;Parametros!$B$16,"",IF(E254=0,"PIDE SIN FCST",IF(ABS(G254)&gt;Parametros!$B$14,IF(G254&gt;0,"SOBRE FCST","BAJO FCST"),"")))</f>
        <v>SOBRE FCST</v>
      </c>
    </row>
    <row r="255" customFormat="false" ht="15" hidden="false" customHeight="false" outlineLevel="0" collapsed="false">
      <c r="A255" s="3" t="n">
        <v>30000478</v>
      </c>
      <c r="B255" s="3" t="s">
        <v>248</v>
      </c>
      <c r="C255" s="3" t="s">
        <v>453</v>
      </c>
      <c r="D255" s="23" t="n">
        <v>2052</v>
      </c>
      <c r="E255" s="23" t="n">
        <v>775.165633802817</v>
      </c>
      <c r="F255" s="23" t="n">
        <f aca="false">D255-E255</f>
        <v>1276.83436619718</v>
      </c>
      <c r="G255" s="24" t="n">
        <f aca="false">IF(E255&gt;0,D255/E255-1,"")</f>
        <v>1.64717617824887</v>
      </c>
      <c r="H255" s="3" t="str">
        <f aca="false">IF(MAX(D255,E255)&lt;Parametros!$B$16,"",IF(E255=0,"PIDE SIN FCST",IF(ABS(G255)&gt;Parametros!$B$14,IF(G255&gt;0,"SOBRE FCST","BAJO FCST"),"")))</f>
        <v>SOBRE FCST</v>
      </c>
    </row>
    <row r="256" customFormat="false" ht="15" hidden="false" customHeight="false" outlineLevel="0" collapsed="false">
      <c r="A256" s="3" t="n">
        <v>30000300</v>
      </c>
      <c r="B256" s="3" t="s">
        <v>219</v>
      </c>
      <c r="C256" s="3" t="s">
        <v>450</v>
      </c>
      <c r="D256" s="23" t="n">
        <v>3996</v>
      </c>
      <c r="E256" s="23" t="n">
        <v>5268.65031516301</v>
      </c>
      <c r="F256" s="23" t="n">
        <f aca="false">D256-E256</f>
        <v>-1272.65031516301</v>
      </c>
      <c r="G256" s="24" t="n">
        <f aca="false">IF(E256&gt;0,D256/E256-1,"")</f>
        <v>-0.241551486440534</v>
      </c>
      <c r="H256" s="3" t="str">
        <f aca="false">IF(MAX(D256,E256)&lt;Parametros!$B$16,"",IF(E256=0,"PIDE SIN FCST",IF(ABS(G256)&gt;Parametros!$B$14,IF(G256&gt;0,"SOBRE FCST","BAJO FCST"),"")))</f>
        <v>BAJO FCST</v>
      </c>
    </row>
    <row r="257" customFormat="false" ht="15" hidden="false" customHeight="false" outlineLevel="0" collapsed="false">
      <c r="A257" s="3" t="n">
        <v>30002272</v>
      </c>
      <c r="B257" s="3" t="s">
        <v>242</v>
      </c>
      <c r="C257" s="3" t="s">
        <v>450</v>
      </c>
      <c r="D257" s="23" t="n">
        <v>6372</v>
      </c>
      <c r="E257" s="23" t="n">
        <v>5100</v>
      </c>
      <c r="F257" s="23" t="n">
        <f aca="false">D257-E257</f>
        <v>1272</v>
      </c>
      <c r="G257" s="24" t="n">
        <f aca="false">IF(E257&gt;0,D257/E257-1,"")</f>
        <v>0.249411764705882</v>
      </c>
      <c r="H257" s="3" t="str">
        <f aca="false">IF(MAX(D257,E257)&lt;Parametros!$B$16,"",IF(E257=0,"PIDE SIN FCST",IF(ABS(G257)&gt;Parametros!$B$14,IF(G257&gt;0,"SOBRE FCST","BAJO FCST"),"")))</f>
        <v>SOBRE FCST</v>
      </c>
    </row>
    <row r="258" customFormat="false" ht="15" hidden="false" customHeight="false" outlineLevel="0" collapsed="false">
      <c r="A258" s="3" t="n">
        <v>30000206</v>
      </c>
      <c r="B258" s="3" t="s">
        <v>218</v>
      </c>
      <c r="C258" s="3" t="s">
        <v>447</v>
      </c>
      <c r="D258" s="23" t="n">
        <v>1884</v>
      </c>
      <c r="E258" s="23" t="n">
        <v>3153.47265564545</v>
      </c>
      <c r="F258" s="23" t="n">
        <f aca="false">D258-E258</f>
        <v>-1269.47265564544</v>
      </c>
      <c r="G258" s="24" t="n">
        <f aca="false">IF(E258&gt;0,D258/E258-1,"")</f>
        <v>-0.402563394159387</v>
      </c>
      <c r="H258" s="3" t="str">
        <f aca="false">IF(MAX(D258,E258)&lt;Parametros!$B$16,"",IF(E258=0,"PIDE SIN FCST",IF(ABS(G258)&gt;Parametros!$B$14,IF(G258&gt;0,"SOBRE FCST","BAJO FCST"),"")))</f>
        <v>BAJO FCST</v>
      </c>
    </row>
    <row r="259" customFormat="false" ht="15" hidden="false" customHeight="false" outlineLevel="0" collapsed="false">
      <c r="A259" s="3" t="n">
        <v>30001923</v>
      </c>
      <c r="B259" s="3" t="s">
        <v>236</v>
      </c>
      <c r="C259" s="3" t="s">
        <v>455</v>
      </c>
      <c r="D259" s="23" t="n">
        <v>13824</v>
      </c>
      <c r="E259" s="23" t="n">
        <v>12555.84</v>
      </c>
      <c r="F259" s="23" t="n">
        <f aca="false">D259-E259</f>
        <v>1268.16</v>
      </c>
      <c r="G259" s="24" t="n">
        <f aca="false">IF(E259&gt;0,D259/E259-1,"")</f>
        <v>0.101001605627342</v>
      </c>
      <c r="H259" s="3" t="str">
        <f aca="false">IF(MAX(D259,E259)&lt;Parametros!$B$16,"",IF(E259=0,"PIDE SIN FCST",IF(ABS(G259)&gt;Parametros!$B$14,IF(G259&gt;0,"SOBRE FCST","BAJO FCST"),"")))</f>
        <v/>
      </c>
    </row>
    <row r="260" customFormat="false" ht="15" hidden="false" customHeight="false" outlineLevel="0" collapsed="false">
      <c r="A260" s="3" t="n">
        <v>30002276</v>
      </c>
      <c r="B260" s="3" t="s">
        <v>276</v>
      </c>
      <c r="C260" s="3" t="s">
        <v>453</v>
      </c>
      <c r="D260" s="23" t="n">
        <v>0</v>
      </c>
      <c r="E260" s="23" t="n">
        <v>1261.8</v>
      </c>
      <c r="F260" s="23" t="n">
        <f aca="false">D260-E260</f>
        <v>-1261.8</v>
      </c>
      <c r="G260" s="24" t="n">
        <f aca="false">IF(E260&gt;0,D260/E260-1,"")</f>
        <v>-1</v>
      </c>
      <c r="H260" s="3" t="str">
        <f aca="false">IF(MAX(D260,E260)&lt;Parametros!$B$16,"",IF(E260=0,"PIDE SIN FCST",IF(ABS(G260)&gt;Parametros!$B$14,IF(G260&gt;0,"SOBRE FCST","BAJO FCST"),"")))</f>
        <v>BAJO FCST</v>
      </c>
    </row>
    <row r="261" customFormat="false" ht="15" hidden="false" customHeight="false" outlineLevel="0" collapsed="false">
      <c r="A261" s="3" t="n">
        <v>30001404</v>
      </c>
      <c r="B261" s="3" t="s">
        <v>223</v>
      </c>
      <c r="C261" s="3" t="s">
        <v>450</v>
      </c>
      <c r="D261" s="23" t="n">
        <v>8959.5</v>
      </c>
      <c r="E261" s="23" t="n">
        <v>7700</v>
      </c>
      <c r="F261" s="23" t="n">
        <f aca="false">D261-E261</f>
        <v>1259.5</v>
      </c>
      <c r="G261" s="24" t="n">
        <f aca="false">IF(E261&gt;0,D261/E261-1,"")</f>
        <v>0.163571428571428</v>
      </c>
      <c r="H261" s="3" t="str">
        <f aca="false">IF(MAX(D261,E261)&lt;Parametros!$B$16,"",IF(E261=0,"PIDE SIN FCST",IF(ABS(G261)&gt;Parametros!$B$14,IF(G261&gt;0,"SOBRE FCST","BAJO FCST"),"")))</f>
        <v/>
      </c>
    </row>
    <row r="262" customFormat="false" ht="15" hidden="false" customHeight="false" outlineLevel="0" collapsed="false">
      <c r="A262" s="3" t="n">
        <v>30000254</v>
      </c>
      <c r="B262" s="3" t="s">
        <v>212</v>
      </c>
      <c r="C262" s="3" t="s">
        <v>452</v>
      </c>
      <c r="D262" s="23" t="n">
        <v>2754</v>
      </c>
      <c r="E262" s="23" t="n">
        <v>4012.30552680939</v>
      </c>
      <c r="F262" s="23" t="n">
        <f aca="false">D262-E262</f>
        <v>-1258.30552680939</v>
      </c>
      <c r="G262" s="24" t="n">
        <f aca="false">IF(E262&gt;0,D262/E262-1,"")</f>
        <v>-0.313611592736808</v>
      </c>
      <c r="H262" s="3" t="str">
        <f aca="false">IF(MAX(D262,E262)&lt;Parametros!$B$16,"",IF(E262=0,"PIDE SIN FCST",IF(ABS(G262)&gt;Parametros!$B$14,IF(G262&gt;0,"SOBRE FCST","BAJO FCST"),"")))</f>
        <v>BAJO FCST</v>
      </c>
    </row>
    <row r="263" customFormat="false" ht="15" hidden="false" customHeight="false" outlineLevel="0" collapsed="false">
      <c r="A263" s="3" t="n">
        <v>30000524</v>
      </c>
      <c r="B263" s="3" t="s">
        <v>192</v>
      </c>
      <c r="C263" s="3" t="s">
        <v>455</v>
      </c>
      <c r="D263" s="23" t="n">
        <v>24192</v>
      </c>
      <c r="E263" s="23" t="n">
        <v>25428</v>
      </c>
      <c r="F263" s="23" t="n">
        <f aca="false">D263-E263</f>
        <v>-1236</v>
      </c>
      <c r="G263" s="24" t="n">
        <f aca="false">IF(E263&gt;0,D263/E263-1,"")</f>
        <v>-0.0486078338839076</v>
      </c>
      <c r="H263" s="3" t="str">
        <f aca="false">IF(MAX(D263,E263)&lt;Parametros!$B$16,"",IF(E263=0,"PIDE SIN FCST",IF(ABS(G263)&gt;Parametros!$B$14,IF(G263&gt;0,"SOBRE FCST","BAJO FCST"),"")))</f>
        <v/>
      </c>
    </row>
    <row r="264" customFormat="false" ht="15" hidden="false" customHeight="false" outlineLevel="0" collapsed="false">
      <c r="A264" s="3" t="n">
        <v>30001404</v>
      </c>
      <c r="B264" s="3" t="s">
        <v>223</v>
      </c>
      <c r="C264" s="3" t="s">
        <v>454</v>
      </c>
      <c r="D264" s="23" t="n">
        <v>4536</v>
      </c>
      <c r="E264" s="23" t="n">
        <v>3300</v>
      </c>
      <c r="F264" s="23" t="n">
        <f aca="false">D264-E264</f>
        <v>1236</v>
      </c>
      <c r="G264" s="24" t="n">
        <f aca="false">IF(E264&gt;0,D264/E264-1,"")</f>
        <v>0.374545454545455</v>
      </c>
      <c r="H264" s="3" t="str">
        <f aca="false">IF(MAX(D264,E264)&lt;Parametros!$B$16,"",IF(E264=0,"PIDE SIN FCST",IF(ABS(G264)&gt;Parametros!$B$14,IF(G264&gt;0,"SOBRE FCST","BAJO FCST"),"")))</f>
        <v>SOBRE FCST</v>
      </c>
    </row>
    <row r="265" customFormat="false" ht="15" hidden="false" customHeight="false" outlineLevel="0" collapsed="false">
      <c r="A265" s="3" t="n">
        <v>30000354</v>
      </c>
      <c r="B265" s="3" t="s">
        <v>244</v>
      </c>
      <c r="C265" s="3" t="s">
        <v>450</v>
      </c>
      <c r="D265" s="23" t="n">
        <v>6534</v>
      </c>
      <c r="E265" s="23" t="n">
        <v>5300</v>
      </c>
      <c r="F265" s="23" t="n">
        <f aca="false">D265-E265</f>
        <v>1234</v>
      </c>
      <c r="G265" s="24" t="n">
        <f aca="false">IF(E265&gt;0,D265/E265-1,"")</f>
        <v>0.232830188679245</v>
      </c>
      <c r="H265" s="3" t="str">
        <f aca="false">IF(MAX(D265,E265)&lt;Parametros!$B$16,"",IF(E265=0,"PIDE SIN FCST",IF(ABS(G265)&gt;Parametros!$B$14,IF(G265&gt;0,"SOBRE FCST","BAJO FCST"),"")))</f>
        <v>SOBRE FCST</v>
      </c>
    </row>
    <row r="266" customFormat="false" ht="15" hidden="false" customHeight="false" outlineLevel="0" collapsed="false">
      <c r="A266" s="3" t="n">
        <v>30002262</v>
      </c>
      <c r="B266" s="3" t="s">
        <v>275</v>
      </c>
      <c r="C266" s="3" t="s">
        <v>448</v>
      </c>
      <c r="D266" s="23" t="n">
        <v>1818.15</v>
      </c>
      <c r="E266" s="23" t="n">
        <v>593.615833333333</v>
      </c>
      <c r="F266" s="23" t="n">
        <f aca="false">D266-E266</f>
        <v>1224.53416666667</v>
      </c>
      <c r="G266" s="24" t="n">
        <f aca="false">IF(E266&gt;0,D266/E266-1,"")</f>
        <v>2.06283946267157</v>
      </c>
      <c r="H266" s="3" t="str">
        <f aca="false">IF(MAX(D266,E266)&lt;Parametros!$B$16,"",IF(E266=0,"PIDE SIN FCST",IF(ABS(G266)&gt;Parametros!$B$14,IF(G266&gt;0,"SOBRE FCST","BAJO FCST"),"")))</f>
        <v>SOBRE FCST</v>
      </c>
    </row>
    <row r="267" customFormat="false" ht="15" hidden="false" customHeight="false" outlineLevel="0" collapsed="false">
      <c r="A267" s="3" t="n">
        <v>30000307</v>
      </c>
      <c r="B267" s="3" t="s">
        <v>256</v>
      </c>
      <c r="C267" s="3" t="s">
        <v>450</v>
      </c>
      <c r="D267" s="23" t="n">
        <v>2850</v>
      </c>
      <c r="E267" s="23" t="n">
        <v>1633.74</v>
      </c>
      <c r="F267" s="23" t="n">
        <f aca="false">D267-E267</f>
        <v>1216.26</v>
      </c>
      <c r="G267" s="24" t="n">
        <f aca="false">IF(E267&gt;0,D267/E267-1,"")</f>
        <v>0.74446362334276</v>
      </c>
      <c r="H267" s="3" t="str">
        <f aca="false">IF(MAX(D267,E267)&lt;Parametros!$B$16,"",IF(E267=0,"PIDE SIN FCST",IF(ABS(G267)&gt;Parametros!$B$14,IF(G267&gt;0,"SOBRE FCST","BAJO FCST"),"")))</f>
        <v>SOBRE FCST</v>
      </c>
    </row>
    <row r="268" customFormat="false" ht="15" hidden="false" customHeight="false" outlineLevel="0" collapsed="false">
      <c r="A268" s="3" t="n">
        <v>30002261</v>
      </c>
      <c r="B268" s="3" t="s">
        <v>282</v>
      </c>
      <c r="C268" s="3" t="s">
        <v>455</v>
      </c>
      <c r="D268" s="23" t="n">
        <v>3211.95</v>
      </c>
      <c r="E268" s="23" t="n">
        <v>2000</v>
      </c>
      <c r="F268" s="23" t="n">
        <f aca="false">D268-E268</f>
        <v>1211.95</v>
      </c>
      <c r="G268" s="24" t="n">
        <f aca="false">IF(E268&gt;0,D268/E268-1,"")</f>
        <v>0.605975</v>
      </c>
      <c r="H268" s="3" t="str">
        <f aca="false">IF(MAX(D268,E268)&lt;Parametros!$B$16,"",IF(E268=0,"PIDE SIN FCST",IF(ABS(G268)&gt;Parametros!$B$14,IF(G268&gt;0,"SOBRE FCST","BAJO FCST"),"")))</f>
        <v>SOBRE FCST</v>
      </c>
    </row>
    <row r="269" customFormat="false" ht="15" hidden="false" customHeight="false" outlineLevel="0" collapsed="false">
      <c r="A269" s="3" t="n">
        <v>30000325</v>
      </c>
      <c r="B269" s="3" t="s">
        <v>189</v>
      </c>
      <c r="C269" s="3" t="s">
        <v>452</v>
      </c>
      <c r="D269" s="23" t="n">
        <v>8028</v>
      </c>
      <c r="E269" s="23" t="n">
        <v>6821.57146916916</v>
      </c>
      <c r="F269" s="23" t="n">
        <f aca="false">D269-E269</f>
        <v>1206.42853083084</v>
      </c>
      <c r="G269" s="24" t="n">
        <f aca="false">IF(E269&gt;0,D269/E269-1,"")</f>
        <v>0.176854927971279</v>
      </c>
      <c r="H269" s="3" t="str">
        <f aca="false">IF(MAX(D269,E269)&lt;Parametros!$B$16,"",IF(E269=0,"PIDE SIN FCST",IF(ABS(G269)&gt;Parametros!$B$14,IF(G269&gt;0,"SOBRE FCST","BAJO FCST"),"")))</f>
        <v/>
      </c>
    </row>
    <row r="270" customFormat="false" ht="15" hidden="false" customHeight="false" outlineLevel="0" collapsed="false">
      <c r="A270" s="3" t="n">
        <v>30002077</v>
      </c>
      <c r="B270" s="3" t="s">
        <v>240</v>
      </c>
      <c r="C270" s="3" t="s">
        <v>451</v>
      </c>
      <c r="D270" s="23" t="n">
        <v>2004</v>
      </c>
      <c r="E270" s="23" t="n">
        <v>800</v>
      </c>
      <c r="F270" s="23" t="n">
        <f aca="false">D270-E270</f>
        <v>1204</v>
      </c>
      <c r="G270" s="24" t="n">
        <f aca="false">IF(E270&gt;0,D270/E270-1,"")</f>
        <v>1.505</v>
      </c>
      <c r="H270" s="3" t="str">
        <f aca="false">IF(MAX(D270,E270)&lt;Parametros!$B$16,"",IF(E270=0,"PIDE SIN FCST",IF(ABS(G270)&gt;Parametros!$B$14,IF(G270&gt;0,"SOBRE FCST","BAJO FCST"),"")))</f>
        <v>SOBRE FCST</v>
      </c>
    </row>
    <row r="271" customFormat="false" ht="15" hidden="false" customHeight="false" outlineLevel="0" collapsed="false">
      <c r="A271" s="3" t="n">
        <v>30001882</v>
      </c>
      <c r="B271" s="3" t="s">
        <v>243</v>
      </c>
      <c r="C271" s="3" t="s">
        <v>453</v>
      </c>
      <c r="D271" s="23" t="n">
        <v>906</v>
      </c>
      <c r="E271" s="23" t="n">
        <v>2101.81181099244</v>
      </c>
      <c r="F271" s="23" t="n">
        <f aca="false">D271-E271</f>
        <v>-1195.81181099243</v>
      </c>
      <c r="G271" s="24" t="n">
        <f aca="false">IF(E271&gt;0,D271/E271-1,"")</f>
        <v>-0.568943330101374</v>
      </c>
      <c r="H271" s="3" t="str">
        <f aca="false">IF(MAX(D271,E271)&lt;Parametros!$B$16,"",IF(E271=0,"PIDE SIN FCST",IF(ABS(G271)&gt;Parametros!$B$14,IF(G271&gt;0,"SOBRE FCST","BAJO FCST"),"")))</f>
        <v>BAJO FCST</v>
      </c>
    </row>
    <row r="272" customFormat="false" ht="15" hidden="false" customHeight="false" outlineLevel="0" collapsed="false">
      <c r="A272" s="3" t="n">
        <v>30002065</v>
      </c>
      <c r="B272" s="3" t="s">
        <v>225</v>
      </c>
      <c r="C272" s="3" t="s">
        <v>453</v>
      </c>
      <c r="D272" s="23" t="n">
        <v>2748</v>
      </c>
      <c r="E272" s="23" t="n">
        <v>1560.55491627649</v>
      </c>
      <c r="F272" s="23" t="n">
        <f aca="false">D272-E272</f>
        <v>1187.44508372351</v>
      </c>
      <c r="G272" s="24" t="n">
        <f aca="false">IF(E272&gt;0,D272/E272-1,"")</f>
        <v>0.760912077709371</v>
      </c>
      <c r="H272" s="3" t="str">
        <f aca="false">IF(MAX(D272,E272)&lt;Parametros!$B$16,"",IF(E272=0,"PIDE SIN FCST",IF(ABS(G272)&gt;Parametros!$B$14,IF(G272&gt;0,"SOBRE FCST","BAJO FCST"),"")))</f>
        <v>SOBRE FCST</v>
      </c>
    </row>
    <row r="273" customFormat="false" ht="15" hidden="false" customHeight="false" outlineLevel="0" collapsed="false">
      <c r="A273" s="3" t="n">
        <v>30002358</v>
      </c>
      <c r="B273" s="3" t="s">
        <v>271</v>
      </c>
      <c r="C273" s="3" t="s">
        <v>450</v>
      </c>
      <c r="D273" s="23" t="n">
        <v>4986</v>
      </c>
      <c r="E273" s="23" t="n">
        <v>3804.5</v>
      </c>
      <c r="F273" s="23" t="n">
        <f aca="false">D273-E273</f>
        <v>1181.5</v>
      </c>
      <c r="G273" s="24" t="n">
        <f aca="false">IF(E273&gt;0,D273/E273-1,"")</f>
        <v>0.310553292154028</v>
      </c>
      <c r="H273" s="3" t="str">
        <f aca="false">IF(MAX(D273,E273)&lt;Parametros!$B$16,"",IF(E273=0,"PIDE SIN FCST",IF(ABS(G273)&gt;Parametros!$B$14,IF(G273&gt;0,"SOBRE FCST","BAJO FCST"),"")))</f>
        <v>SOBRE FCST</v>
      </c>
    </row>
    <row r="274" customFormat="false" ht="15" hidden="false" customHeight="false" outlineLevel="0" collapsed="false">
      <c r="A274" s="3" t="n">
        <v>30001977</v>
      </c>
      <c r="B274" s="3" t="s">
        <v>220</v>
      </c>
      <c r="C274" s="3" t="s">
        <v>453</v>
      </c>
      <c r="D274" s="23" t="n">
        <v>1836</v>
      </c>
      <c r="E274" s="23" t="n">
        <v>3005.45517110201</v>
      </c>
      <c r="F274" s="23" t="n">
        <f aca="false">D274-E274</f>
        <v>-1169.45517110201</v>
      </c>
      <c r="G274" s="24" t="n">
        <f aca="false">IF(E274&gt;0,D274/E274-1,"")</f>
        <v>-0.389110834973194</v>
      </c>
      <c r="H274" s="3" t="str">
        <f aca="false">IF(MAX(D274,E274)&lt;Parametros!$B$16,"",IF(E274=0,"PIDE SIN FCST",IF(ABS(G274)&gt;Parametros!$B$14,IF(G274&gt;0,"SOBRE FCST","BAJO FCST"),"")))</f>
        <v>BAJO FCST</v>
      </c>
    </row>
    <row r="275" customFormat="false" ht="15" hidden="false" customHeight="false" outlineLevel="0" collapsed="false">
      <c r="A275" s="3" t="n">
        <v>30000309</v>
      </c>
      <c r="B275" s="3" t="s">
        <v>200</v>
      </c>
      <c r="C275" s="3" t="s">
        <v>452</v>
      </c>
      <c r="D275" s="23" t="n">
        <v>5856</v>
      </c>
      <c r="E275" s="23" t="n">
        <v>7024.59742996749</v>
      </c>
      <c r="F275" s="23" t="n">
        <f aca="false">D275-E275</f>
        <v>-1168.59742996749</v>
      </c>
      <c r="G275" s="24" t="n">
        <f aca="false">IF(E275&gt;0,D275/E275-1,"")</f>
        <v>-0.166357921805193</v>
      </c>
      <c r="H275" s="3" t="str">
        <f aca="false">IF(MAX(D275,E275)&lt;Parametros!$B$16,"",IF(E275=0,"PIDE SIN FCST",IF(ABS(G275)&gt;Parametros!$B$14,IF(G275&gt;0,"SOBRE FCST","BAJO FCST"),"")))</f>
        <v/>
      </c>
    </row>
    <row r="276" customFormat="false" ht="15" hidden="false" customHeight="false" outlineLevel="0" collapsed="false">
      <c r="A276" s="3" t="n">
        <v>30001976</v>
      </c>
      <c r="B276" s="3" t="s">
        <v>263</v>
      </c>
      <c r="C276" s="3" t="s">
        <v>450</v>
      </c>
      <c r="D276" s="23" t="n">
        <v>3132</v>
      </c>
      <c r="E276" s="23" t="n">
        <v>4300</v>
      </c>
      <c r="F276" s="23" t="n">
        <f aca="false">D276-E276</f>
        <v>-1168</v>
      </c>
      <c r="G276" s="24" t="n">
        <f aca="false">IF(E276&gt;0,D276/E276-1,"")</f>
        <v>-0.271627906976744</v>
      </c>
      <c r="H276" s="3" t="str">
        <f aca="false">IF(MAX(D276,E276)&lt;Parametros!$B$16,"",IF(E276=0,"PIDE SIN FCST",IF(ABS(G276)&gt;Parametros!$B$14,IF(G276&gt;0,"SOBRE FCST","BAJO FCST"),"")))</f>
        <v>BAJO FCST</v>
      </c>
    </row>
    <row r="277" customFormat="false" ht="15" hidden="false" customHeight="false" outlineLevel="0" collapsed="false">
      <c r="A277" s="3" t="n">
        <v>30001715</v>
      </c>
      <c r="B277" s="3" t="s">
        <v>228</v>
      </c>
      <c r="C277" s="3" t="s">
        <v>454</v>
      </c>
      <c r="D277" s="23" t="n">
        <v>4028</v>
      </c>
      <c r="E277" s="23" t="n">
        <v>2873.64618903923</v>
      </c>
      <c r="F277" s="23" t="n">
        <f aca="false">D277-E277</f>
        <v>1154.35381096077</v>
      </c>
      <c r="G277" s="24" t="n">
        <f aca="false">IF(E277&gt;0,D277/E277-1,"")</f>
        <v>0.401703527512799</v>
      </c>
      <c r="H277" s="3" t="str">
        <f aca="false">IF(MAX(D277,E277)&lt;Parametros!$B$16,"",IF(E277=0,"PIDE SIN FCST",IF(ABS(G277)&gt;Parametros!$B$14,IF(G277&gt;0,"SOBRE FCST","BAJO FCST"),"")))</f>
        <v>SOBRE FCST</v>
      </c>
    </row>
    <row r="278" customFormat="false" ht="15" hidden="false" customHeight="false" outlineLevel="0" collapsed="false">
      <c r="A278" s="3" t="n">
        <v>30001423</v>
      </c>
      <c r="B278" s="3" t="s">
        <v>230</v>
      </c>
      <c r="C278" s="3" t="s">
        <v>447</v>
      </c>
      <c r="D278" s="23" t="n">
        <v>472.5</v>
      </c>
      <c r="E278" s="23" t="n">
        <v>1622.62861403154</v>
      </c>
      <c r="F278" s="23" t="n">
        <f aca="false">D278-E278</f>
        <v>-1150.12861403154</v>
      </c>
      <c r="G278" s="24" t="n">
        <f aca="false">IF(E278&gt;0,D278/E278-1,"")</f>
        <v>-0.708805825366263</v>
      </c>
      <c r="H278" s="3" t="str">
        <f aca="false">IF(MAX(D278,E278)&lt;Parametros!$B$16,"",IF(E278=0,"PIDE SIN FCST",IF(ABS(G278)&gt;Parametros!$B$14,IF(G278&gt;0,"SOBRE FCST","BAJO FCST"),"")))</f>
        <v>BAJO FCST</v>
      </c>
    </row>
    <row r="279" customFormat="false" ht="15" hidden="false" customHeight="false" outlineLevel="0" collapsed="false">
      <c r="A279" s="3" t="n">
        <v>30000355</v>
      </c>
      <c r="B279" s="3" t="s">
        <v>290</v>
      </c>
      <c r="C279" s="3" t="s">
        <v>452</v>
      </c>
      <c r="D279" s="23" t="n">
        <v>672</v>
      </c>
      <c r="E279" s="23" t="n">
        <v>1776.6457921874</v>
      </c>
      <c r="F279" s="23" t="n">
        <f aca="false">D279-E279</f>
        <v>-1104.6457921874</v>
      </c>
      <c r="G279" s="24" t="n">
        <f aca="false">IF(E279&gt;0,D279/E279-1,"")</f>
        <v>-0.621759158209787</v>
      </c>
      <c r="H279" s="3" t="str">
        <f aca="false">IF(MAX(D279,E279)&lt;Parametros!$B$16,"",IF(E279=0,"PIDE SIN FCST",IF(ABS(G279)&gt;Parametros!$B$14,IF(G279&gt;0,"SOBRE FCST","BAJO FCST"),"")))</f>
        <v>BAJO FCST</v>
      </c>
    </row>
    <row r="280" customFormat="false" ht="15" hidden="false" customHeight="false" outlineLevel="0" collapsed="false">
      <c r="A280" s="3" t="n">
        <v>30000347</v>
      </c>
      <c r="B280" s="3" t="s">
        <v>227</v>
      </c>
      <c r="C280" s="3" t="s">
        <v>454</v>
      </c>
      <c r="D280" s="23" t="n">
        <v>10098</v>
      </c>
      <c r="E280" s="23" t="n">
        <v>9000</v>
      </c>
      <c r="F280" s="23" t="n">
        <f aca="false">D280-E280</f>
        <v>1098</v>
      </c>
      <c r="G280" s="24" t="n">
        <f aca="false">IF(E280&gt;0,D280/E280-1,"")</f>
        <v>0.122</v>
      </c>
      <c r="H280" s="3" t="str">
        <f aca="false">IF(MAX(D280,E280)&lt;Parametros!$B$16,"",IF(E280=0,"PIDE SIN FCST",IF(ABS(G280)&gt;Parametros!$B$14,IF(G280&gt;0,"SOBRE FCST","BAJO FCST"),"")))</f>
        <v/>
      </c>
    </row>
    <row r="281" customFormat="false" ht="15" hidden="false" customHeight="false" outlineLevel="0" collapsed="false">
      <c r="A281" s="3" t="n">
        <v>30000248</v>
      </c>
      <c r="B281" s="3" t="s">
        <v>264</v>
      </c>
      <c r="C281" s="3" t="s">
        <v>448</v>
      </c>
      <c r="D281" s="23" t="n">
        <v>9240</v>
      </c>
      <c r="E281" s="23" t="n">
        <v>10336.6583333333</v>
      </c>
      <c r="F281" s="23" t="n">
        <f aca="false">D281-E281</f>
        <v>-1096.65833333333</v>
      </c>
      <c r="G281" s="24" t="n">
        <f aca="false">IF(E281&gt;0,D281/E281-1,"")</f>
        <v>-0.106094087467016</v>
      </c>
      <c r="H281" s="3" t="str">
        <f aca="false">IF(MAX(D281,E281)&lt;Parametros!$B$16,"",IF(E281=0,"PIDE SIN FCST",IF(ABS(G281)&gt;Parametros!$B$14,IF(G281&gt;0,"SOBRE FCST","BAJO FCST"),"")))</f>
        <v/>
      </c>
    </row>
    <row r="282" customFormat="false" ht="15" hidden="false" customHeight="false" outlineLevel="0" collapsed="false">
      <c r="A282" s="3" t="n">
        <v>30001716</v>
      </c>
      <c r="B282" s="3" t="s">
        <v>295</v>
      </c>
      <c r="C282" s="3" t="s">
        <v>450</v>
      </c>
      <c r="D282" s="23" t="n">
        <v>1710</v>
      </c>
      <c r="E282" s="23" t="n">
        <v>2800</v>
      </c>
      <c r="F282" s="23" t="n">
        <f aca="false">D282-E282</f>
        <v>-1090</v>
      </c>
      <c r="G282" s="24" t="n">
        <f aca="false">IF(E282&gt;0,D282/E282-1,"")</f>
        <v>-0.389285714285714</v>
      </c>
      <c r="H282" s="3" t="str">
        <f aca="false">IF(MAX(D282,E282)&lt;Parametros!$B$16,"",IF(E282=0,"PIDE SIN FCST",IF(ABS(G282)&gt;Parametros!$B$14,IF(G282&gt;0,"SOBRE FCST","BAJO FCST"),"")))</f>
        <v>BAJO FCST</v>
      </c>
    </row>
    <row r="283" customFormat="false" ht="15" hidden="false" customHeight="false" outlineLevel="0" collapsed="false">
      <c r="A283" s="3" t="n">
        <v>30001715</v>
      </c>
      <c r="B283" s="3" t="s">
        <v>228</v>
      </c>
      <c r="C283" s="3" t="s">
        <v>453</v>
      </c>
      <c r="D283" s="23" t="n">
        <v>380</v>
      </c>
      <c r="E283" s="23" t="n">
        <v>1469.00814511947</v>
      </c>
      <c r="F283" s="23" t="n">
        <f aca="false">D283-E283</f>
        <v>-1089.00814511947</v>
      </c>
      <c r="G283" s="24" t="n">
        <f aca="false">IF(E283&gt;0,D283/E283-1,"")</f>
        <v>-0.741322060560055</v>
      </c>
      <c r="H283" s="3" t="str">
        <f aca="false">IF(MAX(D283,E283)&lt;Parametros!$B$16,"",IF(E283=0,"PIDE SIN FCST",IF(ABS(G283)&gt;Parametros!$B$14,IF(G283&gt;0,"SOBRE FCST","BAJO FCST"),"")))</f>
        <v>BAJO FCST</v>
      </c>
    </row>
    <row r="284" customFormat="false" ht="15" hidden="false" customHeight="false" outlineLevel="0" collapsed="false">
      <c r="A284" s="3" t="n">
        <v>30000300</v>
      </c>
      <c r="B284" s="3" t="s">
        <v>219</v>
      </c>
      <c r="C284" s="3" t="s">
        <v>453</v>
      </c>
      <c r="D284" s="23" t="n">
        <v>2406</v>
      </c>
      <c r="E284" s="23" t="n">
        <v>1319.83727525701</v>
      </c>
      <c r="F284" s="23" t="n">
        <f aca="false">D284-E284</f>
        <v>1086.16272474299</v>
      </c>
      <c r="G284" s="24" t="n">
        <f aca="false">IF(E284&gt;0,D284/E284-1,"")</f>
        <v>0.822951999542133</v>
      </c>
      <c r="H284" s="3" t="str">
        <f aca="false">IF(MAX(D284,E284)&lt;Parametros!$B$16,"",IF(E284=0,"PIDE SIN FCST",IF(ABS(G284)&gt;Parametros!$B$14,IF(G284&gt;0,"SOBRE FCST","BAJO FCST"),"")))</f>
        <v>SOBRE FCST</v>
      </c>
    </row>
    <row r="285" customFormat="false" ht="15" hidden="false" customHeight="false" outlineLevel="0" collapsed="false">
      <c r="A285" s="3" t="n">
        <v>30000254</v>
      </c>
      <c r="B285" s="3" t="s">
        <v>212</v>
      </c>
      <c r="C285" s="3" t="s">
        <v>450</v>
      </c>
      <c r="D285" s="23" t="n">
        <v>13368</v>
      </c>
      <c r="E285" s="23" t="n">
        <v>14441.9989856792</v>
      </c>
      <c r="F285" s="23" t="n">
        <f aca="false">D285-E285</f>
        <v>-1073.99898567923</v>
      </c>
      <c r="G285" s="24" t="n">
        <f aca="false">IF(E285&gt;0,D285/E285-1,"")</f>
        <v>-0.0743663662311717</v>
      </c>
      <c r="H285" s="3" t="str">
        <f aca="false">IF(MAX(D285,E285)&lt;Parametros!$B$16,"",IF(E285=0,"PIDE SIN FCST",IF(ABS(G285)&gt;Parametros!$B$14,IF(G285&gt;0,"SOBRE FCST","BAJO FCST"),"")))</f>
        <v/>
      </c>
    </row>
    <row r="286" customFormat="false" ht="15" hidden="false" customHeight="false" outlineLevel="0" collapsed="false">
      <c r="A286" s="3" t="n">
        <v>30000400</v>
      </c>
      <c r="B286" s="3" t="s">
        <v>199</v>
      </c>
      <c r="C286" s="3" t="s">
        <v>454</v>
      </c>
      <c r="D286" s="23" t="n">
        <v>2304</v>
      </c>
      <c r="E286" s="23" t="n">
        <v>1233.21</v>
      </c>
      <c r="F286" s="23" t="n">
        <f aca="false">D286-E286</f>
        <v>1070.79</v>
      </c>
      <c r="G286" s="24" t="n">
        <f aca="false">IF(E286&gt;0,D286/E286-1,"")</f>
        <v>0.868294937601868</v>
      </c>
      <c r="H286" s="3" t="str">
        <f aca="false">IF(MAX(D286,E286)&lt;Parametros!$B$16,"",IF(E286=0,"PIDE SIN FCST",IF(ABS(G286)&gt;Parametros!$B$14,IF(G286&gt;0,"SOBRE FCST","BAJO FCST"),"")))</f>
        <v>SOBRE FCST</v>
      </c>
    </row>
    <row r="287" customFormat="false" ht="15" hidden="false" customHeight="false" outlineLevel="0" collapsed="false">
      <c r="A287" s="3" t="n">
        <v>30000478</v>
      </c>
      <c r="B287" s="3" t="s">
        <v>248</v>
      </c>
      <c r="C287" s="3" t="s">
        <v>450</v>
      </c>
      <c r="D287" s="23" t="n">
        <v>9444</v>
      </c>
      <c r="E287" s="23" t="n">
        <v>8400</v>
      </c>
      <c r="F287" s="23" t="n">
        <f aca="false">D287-E287</f>
        <v>1044</v>
      </c>
      <c r="G287" s="24" t="n">
        <f aca="false">IF(E287&gt;0,D287/E287-1,"")</f>
        <v>0.124285714285714</v>
      </c>
      <c r="H287" s="3" t="str">
        <f aca="false">IF(MAX(D287,E287)&lt;Parametros!$B$16,"",IF(E287=0,"PIDE SIN FCST",IF(ABS(G287)&gt;Parametros!$B$14,IF(G287&gt;0,"SOBRE FCST","BAJO FCST"),"")))</f>
        <v/>
      </c>
    </row>
    <row r="288" customFormat="false" ht="15" hidden="false" customHeight="false" outlineLevel="0" collapsed="false">
      <c r="A288" s="3" t="n">
        <v>30002178</v>
      </c>
      <c r="B288" s="3" t="s">
        <v>277</v>
      </c>
      <c r="C288" s="3" t="s">
        <v>450</v>
      </c>
      <c r="D288" s="23" t="n">
        <v>2257.2</v>
      </c>
      <c r="E288" s="23" t="n">
        <v>1221</v>
      </c>
      <c r="F288" s="23" t="n">
        <f aca="false">D288-E288</f>
        <v>1036.2</v>
      </c>
      <c r="G288" s="24" t="n">
        <f aca="false">IF(E288&gt;0,D288/E288-1,"")</f>
        <v>0.848648648648648</v>
      </c>
      <c r="H288" s="3" t="str">
        <f aca="false">IF(MAX(D288,E288)&lt;Parametros!$B$16,"",IF(E288=0,"PIDE SIN FCST",IF(ABS(G288)&gt;Parametros!$B$14,IF(G288&gt;0,"SOBRE FCST","BAJO FCST"),"")))</f>
        <v>SOBRE FCST</v>
      </c>
    </row>
    <row r="289" customFormat="false" ht="15" hidden="false" customHeight="false" outlineLevel="0" collapsed="false">
      <c r="A289" s="3" t="n">
        <v>30001976</v>
      </c>
      <c r="B289" s="3" t="s">
        <v>263</v>
      </c>
      <c r="C289" s="3" t="s">
        <v>454</v>
      </c>
      <c r="D289" s="23" t="n">
        <v>3186</v>
      </c>
      <c r="E289" s="23" t="n">
        <v>2150</v>
      </c>
      <c r="F289" s="23" t="n">
        <f aca="false">D289-E289</f>
        <v>1036</v>
      </c>
      <c r="G289" s="24" t="n">
        <f aca="false">IF(E289&gt;0,D289/E289-1,"")</f>
        <v>0.481860465116279</v>
      </c>
      <c r="H289" s="3" t="str">
        <f aca="false">IF(MAX(D289,E289)&lt;Parametros!$B$16,"",IF(E289=0,"PIDE SIN FCST",IF(ABS(G289)&gt;Parametros!$B$14,IF(G289&gt;0,"SOBRE FCST","BAJO FCST"),"")))</f>
        <v>SOBRE FCST</v>
      </c>
    </row>
    <row r="290" customFormat="false" ht="15" hidden="false" customHeight="false" outlineLevel="0" collapsed="false">
      <c r="A290" s="3" t="n">
        <v>30000326</v>
      </c>
      <c r="B290" s="3" t="s">
        <v>190</v>
      </c>
      <c r="C290" s="3" t="s">
        <v>452</v>
      </c>
      <c r="D290" s="23" t="n">
        <v>6612</v>
      </c>
      <c r="E290" s="23" t="n">
        <v>5577.53701455055</v>
      </c>
      <c r="F290" s="23" t="n">
        <f aca="false">D290-E290</f>
        <v>1034.46298544945</v>
      </c>
      <c r="G290" s="24" t="n">
        <f aca="false">IF(E290&gt;0,D290/E290-1,"")</f>
        <v>0.185469497154527</v>
      </c>
      <c r="H290" s="3" t="str">
        <f aca="false">IF(MAX(D290,E290)&lt;Parametros!$B$16,"",IF(E290=0,"PIDE SIN FCST",IF(ABS(G290)&gt;Parametros!$B$14,IF(G290&gt;0,"SOBRE FCST","BAJO FCST"),"")))</f>
        <v/>
      </c>
    </row>
    <row r="291" customFormat="false" ht="15" hidden="false" customHeight="false" outlineLevel="0" collapsed="false">
      <c r="A291" s="3" t="n">
        <v>30001977</v>
      </c>
      <c r="B291" s="3" t="s">
        <v>220</v>
      </c>
      <c r="C291" s="3" t="s">
        <v>455</v>
      </c>
      <c r="D291" s="23" t="n">
        <v>8370</v>
      </c>
      <c r="E291" s="23" t="n">
        <v>9400</v>
      </c>
      <c r="F291" s="23" t="n">
        <f aca="false">D291-E291</f>
        <v>-1030</v>
      </c>
      <c r="G291" s="24" t="n">
        <f aca="false">IF(E291&gt;0,D291/E291-1,"")</f>
        <v>-0.109574468085106</v>
      </c>
      <c r="H291" s="3" t="str">
        <f aca="false">IF(MAX(D291,E291)&lt;Parametros!$B$16,"",IF(E291=0,"PIDE SIN FCST",IF(ABS(G291)&gt;Parametros!$B$14,IF(G291&gt;0,"SOBRE FCST","BAJO FCST"),"")))</f>
        <v/>
      </c>
    </row>
    <row r="292" customFormat="false" ht="15" hidden="false" customHeight="false" outlineLevel="0" collapsed="false">
      <c r="A292" s="3" t="n">
        <v>30000514</v>
      </c>
      <c r="B292" s="3" t="s">
        <v>204</v>
      </c>
      <c r="C292" s="3" t="s">
        <v>452</v>
      </c>
      <c r="D292" s="23" t="n">
        <v>4728</v>
      </c>
      <c r="E292" s="23" t="n">
        <v>3704.208846988</v>
      </c>
      <c r="F292" s="23" t="n">
        <f aca="false">D292-E292</f>
        <v>1023.79115301201</v>
      </c>
      <c r="G292" s="24" t="n">
        <f aca="false">IF(E292&gt;0,D292/E292-1,"")</f>
        <v>0.276385915401201</v>
      </c>
      <c r="H292" s="3" t="str">
        <f aca="false">IF(MAX(D292,E292)&lt;Parametros!$B$16,"",IF(E292=0,"PIDE SIN FCST",IF(ABS(G292)&gt;Parametros!$B$14,IF(G292&gt;0,"SOBRE FCST","BAJO FCST"),"")))</f>
        <v>SOBRE FCST</v>
      </c>
    </row>
    <row r="293" customFormat="false" ht="15" hidden="false" customHeight="false" outlineLevel="0" collapsed="false">
      <c r="A293" s="3" t="n">
        <v>30000318</v>
      </c>
      <c r="B293" s="3" t="s">
        <v>224</v>
      </c>
      <c r="C293" s="3" t="s">
        <v>454</v>
      </c>
      <c r="D293" s="23" t="n">
        <v>2400</v>
      </c>
      <c r="E293" s="23" t="n">
        <v>1385.94568672678</v>
      </c>
      <c r="F293" s="23" t="n">
        <f aca="false">D293-E293</f>
        <v>1014.05431327322</v>
      </c>
      <c r="G293" s="24" t="n">
        <f aca="false">IF(E293&gt;0,D293/E293-1,"")</f>
        <v>0.731669590651955</v>
      </c>
      <c r="H293" s="3" t="str">
        <f aca="false">IF(MAX(D293,E293)&lt;Parametros!$B$16,"",IF(E293=0,"PIDE SIN FCST",IF(ABS(G293)&gt;Parametros!$B$14,IF(G293&gt;0,"SOBRE FCST","BAJO FCST"),"")))</f>
        <v>SOBRE FCST</v>
      </c>
    </row>
    <row r="294" customFormat="false" ht="15" hidden="false" customHeight="false" outlineLevel="0" collapsed="false">
      <c r="A294" s="3" t="n">
        <v>30000398</v>
      </c>
      <c r="B294" s="3" t="s">
        <v>221</v>
      </c>
      <c r="C294" s="3" t="s">
        <v>447</v>
      </c>
      <c r="D294" s="23" t="n">
        <v>7386</v>
      </c>
      <c r="E294" s="23" t="n">
        <v>6372.03515741174</v>
      </c>
      <c r="F294" s="23" t="n">
        <f aca="false">D294-E294</f>
        <v>1013.96484258827</v>
      </c>
      <c r="G294" s="24" t="n">
        <f aca="false">IF(E294&gt;0,D294/E294-1,"")</f>
        <v>0.159127314514085</v>
      </c>
      <c r="H294" s="3" t="str">
        <f aca="false">IF(MAX(D294,E294)&lt;Parametros!$B$16,"",IF(E294=0,"PIDE SIN FCST",IF(ABS(G294)&gt;Parametros!$B$14,IF(G294&gt;0,"SOBRE FCST","BAJO FCST"),"")))</f>
        <v/>
      </c>
    </row>
    <row r="295" customFormat="false" ht="15" hidden="false" customHeight="false" outlineLevel="0" collapsed="false">
      <c r="A295" s="3" t="n">
        <v>30002178</v>
      </c>
      <c r="B295" s="3" t="s">
        <v>277</v>
      </c>
      <c r="C295" s="3" t="s">
        <v>448</v>
      </c>
      <c r="D295" s="23" t="n">
        <v>1841.1</v>
      </c>
      <c r="E295" s="23" t="n">
        <v>2851.9225</v>
      </c>
      <c r="F295" s="23" t="n">
        <f aca="false">D295-E295</f>
        <v>-1010.8225</v>
      </c>
      <c r="G295" s="24" t="n">
        <f aca="false">IF(E295&gt;0,D295/E295-1,"")</f>
        <v>-0.354435472913447</v>
      </c>
      <c r="H295" s="3" t="str">
        <f aca="false">IF(MAX(D295,E295)&lt;Parametros!$B$16,"",IF(E295=0,"PIDE SIN FCST",IF(ABS(G295)&gt;Parametros!$B$14,IF(G295&gt;0,"SOBRE FCST","BAJO FCST"),"")))</f>
        <v>BAJO FCST</v>
      </c>
    </row>
    <row r="296" customFormat="false" ht="15" hidden="false" customHeight="false" outlineLevel="0" collapsed="false">
      <c r="A296" s="3" t="n">
        <v>30000306</v>
      </c>
      <c r="B296" s="3" t="s">
        <v>231</v>
      </c>
      <c r="C296" s="3" t="s">
        <v>447</v>
      </c>
      <c r="D296" s="23" t="n">
        <v>4560</v>
      </c>
      <c r="E296" s="23" t="n">
        <v>3558.1798591379</v>
      </c>
      <c r="F296" s="23" t="n">
        <f aca="false">D296-E296</f>
        <v>1001.8201408621</v>
      </c>
      <c r="G296" s="24" t="n">
        <f aca="false">IF(E296&gt;0,D296/E296-1,"")</f>
        <v>0.28155410364917</v>
      </c>
      <c r="H296" s="3" t="str">
        <f aca="false">IF(MAX(D296,E296)&lt;Parametros!$B$16,"",IF(E296=0,"PIDE SIN FCST",IF(ABS(G296)&gt;Parametros!$B$14,IF(G296&gt;0,"SOBRE FCST","BAJO FCST"),"")))</f>
        <v>SOBRE FCST</v>
      </c>
    </row>
    <row r="297" customFormat="false" ht="15" hidden="false" customHeight="false" outlineLevel="0" collapsed="false">
      <c r="A297" s="3" t="n">
        <v>30002187</v>
      </c>
      <c r="B297" s="3" t="s">
        <v>301</v>
      </c>
      <c r="C297" s="3" t="s">
        <v>455</v>
      </c>
      <c r="D297" s="23" t="n">
        <v>0</v>
      </c>
      <c r="E297" s="23" t="n">
        <v>1000</v>
      </c>
      <c r="F297" s="23" t="n">
        <f aca="false">D297-E297</f>
        <v>-1000</v>
      </c>
      <c r="G297" s="24" t="n">
        <f aca="false">IF(E297&gt;0,D297/E297-1,"")</f>
        <v>-1</v>
      </c>
      <c r="H297" s="3" t="str">
        <f aca="false">IF(MAX(D297,E297)&lt;Parametros!$B$16,"",IF(E297=0,"PIDE SIN FCST",IF(ABS(G297)&gt;Parametros!$B$14,IF(G297&gt;0,"SOBRE FCST","BAJO FCST"),"")))</f>
        <v>BAJO FCST</v>
      </c>
    </row>
    <row r="298" customFormat="false" ht="15" hidden="false" customHeight="false" outlineLevel="0" collapsed="false">
      <c r="A298" s="3" t="n">
        <v>30000244</v>
      </c>
      <c r="B298" s="3" t="s">
        <v>253</v>
      </c>
      <c r="C298" s="3" t="s">
        <v>452</v>
      </c>
      <c r="D298" s="23" t="n">
        <v>2040</v>
      </c>
      <c r="E298" s="23" t="n">
        <v>3035.48887140985</v>
      </c>
      <c r="F298" s="23" t="n">
        <f aca="false">D298-E298</f>
        <v>-995.488871409846</v>
      </c>
      <c r="G298" s="24" t="n">
        <f aca="false">IF(E298&gt;0,D298/E298-1,"")</f>
        <v>-0.327950097523331</v>
      </c>
      <c r="H298" s="3" t="str">
        <f aca="false">IF(MAX(D298,E298)&lt;Parametros!$B$16,"",IF(E298=0,"PIDE SIN FCST",IF(ABS(G298)&gt;Parametros!$B$14,IF(G298&gt;0,"SOBRE FCST","BAJO FCST"),"")))</f>
        <v>BAJO FCST</v>
      </c>
    </row>
    <row r="299" customFormat="false" ht="15" hidden="false" customHeight="false" outlineLevel="0" collapsed="false">
      <c r="A299" s="3" t="n">
        <v>30000354</v>
      </c>
      <c r="B299" s="3" t="s">
        <v>244</v>
      </c>
      <c r="C299" s="3" t="s">
        <v>451</v>
      </c>
      <c r="D299" s="23" t="n">
        <v>216</v>
      </c>
      <c r="E299" s="23" t="n">
        <v>1200</v>
      </c>
      <c r="F299" s="23" t="n">
        <f aca="false">D299-E299</f>
        <v>-984</v>
      </c>
      <c r="G299" s="24" t="n">
        <f aca="false">IF(E299&gt;0,D299/E299-1,"")</f>
        <v>-0.82</v>
      </c>
      <c r="H299" s="3" t="str">
        <f aca="false">IF(MAX(D299,E299)&lt;Parametros!$B$16,"",IF(E299=0,"PIDE SIN FCST",IF(ABS(G299)&gt;Parametros!$B$14,IF(G299&gt;0,"SOBRE FCST","BAJO FCST"),"")))</f>
        <v>BAJO FCST</v>
      </c>
    </row>
    <row r="300" customFormat="false" ht="15" hidden="false" customHeight="false" outlineLevel="0" collapsed="false">
      <c r="A300" s="3" t="n">
        <v>30000207</v>
      </c>
      <c r="B300" s="3" t="s">
        <v>222</v>
      </c>
      <c r="C300" s="3" t="s">
        <v>452</v>
      </c>
      <c r="D300" s="23" t="n">
        <v>1848</v>
      </c>
      <c r="E300" s="23" t="n">
        <v>2812.37587049854</v>
      </c>
      <c r="F300" s="23" t="n">
        <f aca="false">D300-E300</f>
        <v>-964.375870498539</v>
      </c>
      <c r="G300" s="24" t="n">
        <f aca="false">IF(E300&gt;0,D300/E300-1,"")</f>
        <v>-0.342904332459511</v>
      </c>
      <c r="H300" s="3" t="str">
        <f aca="false">IF(MAX(D300,E300)&lt;Parametros!$B$16,"",IF(E300=0,"PIDE SIN FCST",IF(ABS(G300)&gt;Parametros!$B$14,IF(G300&gt;0,"SOBRE FCST","BAJO FCST"),"")))</f>
        <v>BAJO FCST</v>
      </c>
    </row>
    <row r="301" customFormat="false" ht="15" hidden="false" customHeight="false" outlineLevel="0" collapsed="false">
      <c r="A301" s="3" t="n">
        <v>30000351</v>
      </c>
      <c r="B301" s="3" t="s">
        <v>249</v>
      </c>
      <c r="C301" s="3" t="s">
        <v>450</v>
      </c>
      <c r="D301" s="23" t="n">
        <v>1152</v>
      </c>
      <c r="E301" s="23" t="n">
        <v>190</v>
      </c>
      <c r="F301" s="23" t="n">
        <f aca="false">D301-E301</f>
        <v>962</v>
      </c>
      <c r="G301" s="24" t="n">
        <f aca="false">IF(E301&gt;0,D301/E301-1,"")</f>
        <v>5.06315789473684</v>
      </c>
      <c r="H301" s="3" t="str">
        <f aca="false">IF(MAX(D301,E301)&lt;Parametros!$B$16,"",IF(E301=0,"PIDE SIN FCST",IF(ABS(G301)&gt;Parametros!$B$14,IF(G301&gt;0,"SOBRE FCST","BAJO FCST"),"")))</f>
        <v>SOBRE FCST</v>
      </c>
    </row>
    <row r="302" customFormat="false" ht="15" hidden="false" customHeight="false" outlineLevel="0" collapsed="false">
      <c r="A302" s="3" t="n">
        <v>30000351</v>
      </c>
      <c r="B302" s="3" t="s">
        <v>249</v>
      </c>
      <c r="C302" s="3" t="s">
        <v>448</v>
      </c>
      <c r="D302" s="23" t="n">
        <v>3984</v>
      </c>
      <c r="E302" s="23" t="n">
        <v>4924.34166666667</v>
      </c>
      <c r="F302" s="23" t="n">
        <f aca="false">D302-E302</f>
        <v>-940.341666666667</v>
      </c>
      <c r="G302" s="24" t="n">
        <f aca="false">IF(E302&gt;0,D302/E302-1,"")</f>
        <v>-0.190957843772687</v>
      </c>
      <c r="H302" s="3" t="str">
        <f aca="false">IF(MAX(D302,E302)&lt;Parametros!$B$16,"",IF(E302=0,"PIDE SIN FCST",IF(ABS(G302)&gt;Parametros!$B$14,IF(G302&gt;0,"SOBRE FCST","BAJO FCST"),"")))</f>
        <v/>
      </c>
    </row>
    <row r="303" customFormat="false" ht="15" hidden="false" customHeight="false" outlineLevel="0" collapsed="false">
      <c r="A303" s="3" t="n">
        <v>30001411</v>
      </c>
      <c r="B303" s="3" t="s">
        <v>300</v>
      </c>
      <c r="C303" s="3" t="s">
        <v>448</v>
      </c>
      <c r="D303" s="23" t="n">
        <v>3.6</v>
      </c>
      <c r="E303" s="23" t="n">
        <v>932.416666666667</v>
      </c>
      <c r="F303" s="23" t="n">
        <f aca="false">D303-E303</f>
        <v>-928.816666666667</v>
      </c>
      <c r="G303" s="24" t="n">
        <f aca="false">IF(E303&gt;0,D303/E303-1,"")</f>
        <v>-0.996139065153276</v>
      </c>
      <c r="H303" s="3" t="str">
        <f aca="false">IF(MAX(D303,E303)&lt;Parametros!$B$16,"",IF(E303=0,"PIDE SIN FCST",IF(ABS(G303)&gt;Parametros!$B$14,IF(G303&gt;0,"SOBRE FCST","BAJO FCST"),"")))</f>
        <v/>
      </c>
    </row>
    <row r="304" customFormat="false" ht="15" hidden="false" customHeight="false" outlineLevel="0" collapsed="false">
      <c r="A304" s="3" t="n">
        <v>30000207</v>
      </c>
      <c r="B304" s="3" t="s">
        <v>222</v>
      </c>
      <c r="C304" s="3" t="s">
        <v>454</v>
      </c>
      <c r="D304" s="23" t="n">
        <v>3456</v>
      </c>
      <c r="E304" s="23" t="n">
        <v>4384.8152</v>
      </c>
      <c r="F304" s="23" t="n">
        <f aca="false">D304-E304</f>
        <v>-928.8152</v>
      </c>
      <c r="G304" s="24" t="n">
        <f aca="false">IF(E304&gt;0,D304/E304-1,"")</f>
        <v>-0.211825392322121</v>
      </c>
      <c r="H304" s="3" t="str">
        <f aca="false">IF(MAX(D304,E304)&lt;Parametros!$B$16,"",IF(E304=0,"PIDE SIN FCST",IF(ABS(G304)&gt;Parametros!$B$14,IF(G304&gt;0,"SOBRE FCST","BAJO FCST"),"")))</f>
        <v>BAJO FCST</v>
      </c>
    </row>
    <row r="305" customFormat="false" ht="15" hidden="false" customHeight="false" outlineLevel="0" collapsed="false">
      <c r="A305" s="3" t="n">
        <v>30001895</v>
      </c>
      <c r="B305" s="3" t="s">
        <v>234</v>
      </c>
      <c r="C305" s="3" t="s">
        <v>448</v>
      </c>
      <c r="D305" s="23" t="n">
        <v>1535.2</v>
      </c>
      <c r="E305" s="23" t="n">
        <v>2447.79</v>
      </c>
      <c r="F305" s="23" t="n">
        <f aca="false">D305-E305</f>
        <v>-912.59</v>
      </c>
      <c r="G305" s="24" t="n">
        <f aca="false">IF(E305&gt;0,D305/E305-1,"")</f>
        <v>-0.372822014960434</v>
      </c>
      <c r="H305" s="3" t="str">
        <f aca="false">IF(MAX(D305,E305)&lt;Parametros!$B$16,"",IF(E305=0,"PIDE SIN FCST",IF(ABS(G305)&gt;Parametros!$B$14,IF(G305&gt;0,"SOBRE FCST","BAJO FCST"),"")))</f>
        <v>BAJO FCST</v>
      </c>
    </row>
    <row r="306" customFormat="false" ht="15" hidden="false" customHeight="false" outlineLevel="0" collapsed="false">
      <c r="A306" s="3" t="n">
        <v>30001405</v>
      </c>
      <c r="B306" s="3" t="s">
        <v>246</v>
      </c>
      <c r="C306" s="3" t="s">
        <v>450</v>
      </c>
      <c r="D306" s="23" t="n">
        <v>3010.5</v>
      </c>
      <c r="E306" s="23" t="n">
        <v>2100</v>
      </c>
      <c r="F306" s="23" t="n">
        <f aca="false">D306-E306</f>
        <v>910.5</v>
      </c>
      <c r="G306" s="24" t="n">
        <f aca="false">IF(E306&gt;0,D306/E306-1,"")</f>
        <v>0.433571428571429</v>
      </c>
      <c r="H306" s="3" t="str">
        <f aca="false">IF(MAX(D306,E306)&lt;Parametros!$B$16,"",IF(E306=0,"PIDE SIN FCST",IF(ABS(G306)&gt;Parametros!$B$14,IF(G306&gt;0,"SOBRE FCST","BAJO FCST"),"")))</f>
        <v>SOBRE FCST</v>
      </c>
    </row>
    <row r="307" customFormat="false" ht="15" hidden="false" customHeight="false" outlineLevel="0" collapsed="false">
      <c r="A307" s="3" t="n">
        <v>30000321</v>
      </c>
      <c r="B307" s="3" t="s">
        <v>237</v>
      </c>
      <c r="C307" s="3" t="s">
        <v>455</v>
      </c>
      <c r="D307" s="23" t="n">
        <v>7600</v>
      </c>
      <c r="E307" s="23" t="n">
        <v>6700</v>
      </c>
      <c r="F307" s="23" t="n">
        <f aca="false">D307-E307</f>
        <v>900</v>
      </c>
      <c r="G307" s="24" t="n">
        <f aca="false">IF(E307&gt;0,D307/E307-1,"")</f>
        <v>0.134328358208955</v>
      </c>
      <c r="H307" s="3" t="str">
        <f aca="false">IF(MAX(D307,E307)&lt;Parametros!$B$16,"",IF(E307=0,"PIDE SIN FCST",IF(ABS(G307)&gt;Parametros!$B$14,IF(G307&gt;0,"SOBRE FCST","BAJO FCST"),"")))</f>
        <v/>
      </c>
    </row>
    <row r="308" customFormat="false" ht="15" hidden="false" customHeight="false" outlineLevel="0" collapsed="false">
      <c r="A308" s="3" t="n">
        <v>30002269</v>
      </c>
      <c r="B308" s="3" t="s">
        <v>281</v>
      </c>
      <c r="C308" s="3" t="s">
        <v>454</v>
      </c>
      <c r="D308" s="23" t="n">
        <v>1602</v>
      </c>
      <c r="E308" s="23" t="n">
        <v>720</v>
      </c>
      <c r="F308" s="23" t="n">
        <f aca="false">D308-E308</f>
        <v>882</v>
      </c>
      <c r="G308" s="24" t="n">
        <f aca="false">IF(E308&gt;0,D308/E308-1,"")</f>
        <v>1.225</v>
      </c>
      <c r="H308" s="3" t="str">
        <f aca="false">IF(MAX(D308,E308)&lt;Parametros!$B$16,"",IF(E308=0,"PIDE SIN FCST",IF(ABS(G308)&gt;Parametros!$B$14,IF(G308&gt;0,"SOBRE FCST","BAJO FCST"),"")))</f>
        <v>SOBRE FCST</v>
      </c>
    </row>
    <row r="309" customFormat="false" ht="15" hidden="false" customHeight="false" outlineLevel="0" collapsed="false">
      <c r="A309" s="3" t="n">
        <v>30000354</v>
      </c>
      <c r="B309" s="3" t="s">
        <v>244</v>
      </c>
      <c r="C309" s="3" t="s">
        <v>455</v>
      </c>
      <c r="D309" s="23" t="n">
        <v>9504</v>
      </c>
      <c r="E309" s="23" t="n">
        <v>10384.4358443611</v>
      </c>
      <c r="F309" s="23" t="n">
        <f aca="false">D309-E309</f>
        <v>-880.435844361051</v>
      </c>
      <c r="G309" s="24" t="n">
        <f aca="false">IF(E309&gt;0,D309/E309-1,"")</f>
        <v>-0.0847841767773205</v>
      </c>
      <c r="H309" s="3" t="str">
        <f aca="false">IF(MAX(D309,E309)&lt;Parametros!$B$16,"",IF(E309=0,"PIDE SIN FCST",IF(ABS(G309)&gt;Parametros!$B$14,IF(G309&gt;0,"SOBRE FCST","BAJO FCST"),"")))</f>
        <v/>
      </c>
    </row>
    <row r="310" customFormat="false" ht="15" hidden="false" customHeight="false" outlineLevel="0" collapsed="false">
      <c r="A310" s="3" t="n">
        <v>30000354</v>
      </c>
      <c r="B310" s="3" t="s">
        <v>244</v>
      </c>
      <c r="C310" s="3" t="s">
        <v>448</v>
      </c>
      <c r="D310" s="23" t="n">
        <v>1614</v>
      </c>
      <c r="E310" s="23" t="n">
        <v>2493.98333333333</v>
      </c>
      <c r="F310" s="23" t="n">
        <f aca="false">D310-E310</f>
        <v>-879.983333333334</v>
      </c>
      <c r="G310" s="24" t="n">
        <f aca="false">IF(E310&gt;0,D310/E310-1,"")</f>
        <v>-0.352842507635042</v>
      </c>
      <c r="H310" s="3" t="str">
        <f aca="false">IF(MAX(D310,E310)&lt;Parametros!$B$16,"",IF(E310=0,"PIDE SIN FCST",IF(ABS(G310)&gt;Parametros!$B$14,IF(G310&gt;0,"SOBRE FCST","BAJO FCST"),"")))</f>
        <v>BAJO FCST</v>
      </c>
    </row>
    <row r="311" customFormat="false" ht="15" hidden="false" customHeight="false" outlineLevel="0" collapsed="false">
      <c r="A311" s="3" t="n">
        <v>30000421</v>
      </c>
      <c r="B311" s="3" t="s">
        <v>267</v>
      </c>
      <c r="C311" s="3" t="s">
        <v>450</v>
      </c>
      <c r="D311" s="23" t="n">
        <v>2232</v>
      </c>
      <c r="E311" s="23" t="n">
        <v>1356.4</v>
      </c>
      <c r="F311" s="23" t="n">
        <f aca="false">D311-E311</f>
        <v>875.6</v>
      </c>
      <c r="G311" s="24" t="n">
        <f aca="false">IF(E311&gt;0,D311/E311-1,"")</f>
        <v>0.645532291359481</v>
      </c>
      <c r="H311" s="3" t="str">
        <f aca="false">IF(MAX(D311,E311)&lt;Parametros!$B$16,"",IF(E311=0,"PIDE SIN FCST",IF(ABS(G311)&gt;Parametros!$B$14,IF(G311&gt;0,"SOBRE FCST","BAJO FCST"),"")))</f>
        <v>SOBRE FCST</v>
      </c>
    </row>
    <row r="312" customFormat="false" ht="15" hidden="false" customHeight="false" outlineLevel="0" collapsed="false">
      <c r="A312" s="3" t="n">
        <v>30002077</v>
      </c>
      <c r="B312" s="3" t="s">
        <v>240</v>
      </c>
      <c r="C312" s="3" t="s">
        <v>453</v>
      </c>
      <c r="D312" s="23" t="n">
        <v>1668</v>
      </c>
      <c r="E312" s="23" t="n">
        <v>801.642109246165</v>
      </c>
      <c r="F312" s="23" t="n">
        <f aca="false">D312-E312</f>
        <v>866.357890753835</v>
      </c>
      <c r="G312" s="24" t="n">
        <f aca="false">IF(E312&gt;0,D312/E312-1,"")</f>
        <v>1.0807290195478</v>
      </c>
      <c r="H312" s="3" t="str">
        <f aca="false">IF(MAX(D312,E312)&lt;Parametros!$B$16,"",IF(E312=0,"PIDE SIN FCST",IF(ABS(G312)&gt;Parametros!$B$14,IF(G312&gt;0,"SOBRE FCST","BAJO FCST"),"")))</f>
        <v>SOBRE FCST</v>
      </c>
    </row>
    <row r="313" customFormat="false" ht="15" hidden="false" customHeight="false" outlineLevel="0" collapsed="false">
      <c r="A313" s="3" t="n">
        <v>30000308</v>
      </c>
      <c r="B313" s="3" t="s">
        <v>274</v>
      </c>
      <c r="C313" s="3" t="s">
        <v>450</v>
      </c>
      <c r="D313" s="23" t="n">
        <v>864</v>
      </c>
      <c r="E313" s="23" t="n">
        <v>0</v>
      </c>
      <c r="F313" s="23" t="n">
        <f aca="false">D313-E313</f>
        <v>864</v>
      </c>
      <c r="G313" s="24" t="str">
        <f aca="false">IF(E313&gt;0,D313/E313-1,"")</f>
        <v/>
      </c>
      <c r="H313" s="3" t="str">
        <f aca="false">IF(MAX(D313,E313)&lt;Parametros!$B$16,"",IF(E313=0,"PIDE SIN FCST",IF(ABS(G313)&gt;Parametros!$B$14,IF(G313&gt;0,"SOBRE FCST","BAJO FCST"),"")))</f>
        <v/>
      </c>
    </row>
    <row r="314" customFormat="false" ht="15" hidden="false" customHeight="false" outlineLevel="0" collapsed="false">
      <c r="A314" s="3" t="n">
        <v>30000401</v>
      </c>
      <c r="B314" s="3" t="s">
        <v>198</v>
      </c>
      <c r="C314" s="3" t="s">
        <v>450</v>
      </c>
      <c r="D314" s="23" t="n">
        <v>864</v>
      </c>
      <c r="E314" s="23" t="n">
        <v>0</v>
      </c>
      <c r="F314" s="23" t="n">
        <f aca="false">D314-E314</f>
        <v>864</v>
      </c>
      <c r="G314" s="24" t="str">
        <f aca="false">IF(E314&gt;0,D314/E314-1,"")</f>
        <v/>
      </c>
      <c r="H314" s="3" t="str">
        <f aca="false">IF(MAX(D314,E314)&lt;Parametros!$B$16,"",IF(E314=0,"PIDE SIN FCST",IF(ABS(G314)&gt;Parametros!$B$14,IF(G314&gt;0,"SOBRE FCST","BAJO FCST"),"")))</f>
        <v/>
      </c>
    </row>
    <row r="315" customFormat="false" ht="15" hidden="false" customHeight="false" outlineLevel="0" collapsed="false">
      <c r="A315" s="3" t="n">
        <v>30000401</v>
      </c>
      <c r="B315" s="3" t="s">
        <v>198</v>
      </c>
      <c r="C315" s="3" t="s">
        <v>447</v>
      </c>
      <c r="D315" s="23" t="n">
        <v>4302</v>
      </c>
      <c r="E315" s="23" t="n">
        <v>3444.00362873861</v>
      </c>
      <c r="F315" s="23" t="n">
        <f aca="false">D315-E315</f>
        <v>857.99637126139</v>
      </c>
      <c r="G315" s="24" t="n">
        <f aca="false">IF(E315&gt;0,D315/E315-1,"")</f>
        <v>0.24912760372893</v>
      </c>
      <c r="H315" s="3" t="str">
        <f aca="false">IF(MAX(D315,E315)&lt;Parametros!$B$16,"",IF(E315=0,"PIDE SIN FCST",IF(ABS(G315)&gt;Parametros!$B$14,IF(G315&gt;0,"SOBRE FCST","BAJO FCST"),"")))</f>
        <v>SOBRE FCST</v>
      </c>
    </row>
    <row r="316" customFormat="false" ht="15" hidden="false" customHeight="false" outlineLevel="0" collapsed="false">
      <c r="A316" s="3" t="n">
        <v>30000351</v>
      </c>
      <c r="B316" s="3" t="s">
        <v>249</v>
      </c>
      <c r="C316" s="3" t="s">
        <v>452</v>
      </c>
      <c r="D316" s="23" t="n">
        <v>1536</v>
      </c>
      <c r="E316" s="23" t="n">
        <v>2386.40084520818</v>
      </c>
      <c r="F316" s="23" t="n">
        <f aca="false">D316-E316</f>
        <v>-850.400845208178</v>
      </c>
      <c r="G316" s="24" t="n">
        <f aca="false">IF(E316&gt;0,D316/E316-1,"")</f>
        <v>-0.356352893067297</v>
      </c>
      <c r="H316" s="3" t="str">
        <f aca="false">IF(MAX(D316,E316)&lt;Parametros!$B$16,"",IF(E316=0,"PIDE SIN FCST",IF(ABS(G316)&gt;Parametros!$B$14,IF(G316&gt;0,"SOBRE FCST","BAJO FCST"),"")))</f>
        <v>BAJO FCST</v>
      </c>
    </row>
    <row r="317" customFormat="false" ht="15" hidden="false" customHeight="false" outlineLevel="0" collapsed="false">
      <c r="A317" s="3" t="n">
        <v>30002285</v>
      </c>
      <c r="B317" s="3" t="s">
        <v>286</v>
      </c>
      <c r="C317" s="3" t="s">
        <v>450</v>
      </c>
      <c r="D317" s="23" t="n">
        <v>2586</v>
      </c>
      <c r="E317" s="23" t="n">
        <v>1743.2</v>
      </c>
      <c r="F317" s="23" t="n">
        <f aca="false">D317-E317</f>
        <v>842.8</v>
      </c>
      <c r="G317" s="24" t="n">
        <f aca="false">IF(E317&gt;0,D317/E317-1,"")</f>
        <v>0.48347865993575</v>
      </c>
      <c r="H317" s="3" t="str">
        <f aca="false">IF(MAX(D317,E317)&lt;Parametros!$B$16,"",IF(E317=0,"PIDE SIN FCST",IF(ABS(G317)&gt;Parametros!$B$14,IF(G317&gt;0,"SOBRE FCST","BAJO FCST"),"")))</f>
        <v>SOBRE FCST</v>
      </c>
    </row>
    <row r="318" customFormat="false" ht="15" hidden="false" customHeight="false" outlineLevel="0" collapsed="false">
      <c r="A318" s="3" t="n">
        <v>30000305</v>
      </c>
      <c r="B318" s="3" t="s">
        <v>207</v>
      </c>
      <c r="C318" s="3" t="s">
        <v>451</v>
      </c>
      <c r="D318" s="23" t="n">
        <v>840</v>
      </c>
      <c r="E318" s="23" t="n">
        <v>0</v>
      </c>
      <c r="F318" s="23" t="n">
        <f aca="false">D318-E318</f>
        <v>840</v>
      </c>
      <c r="G318" s="24" t="str">
        <f aca="false">IF(E318&gt;0,D318/E318-1,"")</f>
        <v/>
      </c>
      <c r="H318" s="3" t="str">
        <f aca="false">IF(MAX(D318,E318)&lt;Parametros!$B$16,"",IF(E318=0,"PIDE SIN FCST",IF(ABS(G318)&gt;Parametros!$B$14,IF(G318&gt;0,"SOBRE FCST","BAJO FCST"),"")))</f>
        <v/>
      </c>
    </row>
    <row r="319" customFormat="false" ht="15" hidden="false" customHeight="false" outlineLevel="0" collapsed="false">
      <c r="A319" s="3" t="n">
        <v>30002066</v>
      </c>
      <c r="B319" s="3" t="s">
        <v>203</v>
      </c>
      <c r="C319" s="3" t="s">
        <v>450</v>
      </c>
      <c r="D319" s="23" t="n">
        <v>840</v>
      </c>
      <c r="E319" s="23" t="n">
        <v>0</v>
      </c>
      <c r="F319" s="23" t="n">
        <f aca="false">D319-E319</f>
        <v>840</v>
      </c>
      <c r="G319" s="24" t="str">
        <f aca="false">IF(E319&gt;0,D319/E319-1,"")</f>
        <v/>
      </c>
      <c r="H319" s="3" t="str">
        <f aca="false">IF(MAX(D319,E319)&lt;Parametros!$B$16,"",IF(E319=0,"PIDE SIN FCST",IF(ABS(G319)&gt;Parametros!$B$14,IF(G319&gt;0,"SOBRE FCST","BAJO FCST"),"")))</f>
        <v/>
      </c>
    </row>
    <row r="320" customFormat="false" ht="15" hidden="false" customHeight="false" outlineLevel="0" collapsed="false">
      <c r="A320" s="3" t="n">
        <v>30000542</v>
      </c>
      <c r="B320" s="3" t="s">
        <v>296</v>
      </c>
      <c r="C320" s="3" t="s">
        <v>455</v>
      </c>
      <c r="D320" s="23" t="n">
        <v>770</v>
      </c>
      <c r="E320" s="23" t="n">
        <v>1600</v>
      </c>
      <c r="F320" s="23" t="n">
        <f aca="false">D320-E320</f>
        <v>-830</v>
      </c>
      <c r="G320" s="24" t="n">
        <f aca="false">IF(E320&gt;0,D320/E320-1,"")</f>
        <v>-0.51875</v>
      </c>
      <c r="H320" s="3" t="str">
        <f aca="false">IF(MAX(D320,E320)&lt;Parametros!$B$16,"",IF(E320=0,"PIDE SIN FCST",IF(ABS(G320)&gt;Parametros!$B$14,IF(G320&gt;0,"SOBRE FCST","BAJO FCST"),"")))</f>
        <v>BAJO FCST</v>
      </c>
    </row>
    <row r="321" customFormat="false" ht="15" hidden="false" customHeight="false" outlineLevel="0" collapsed="false">
      <c r="A321" s="3" t="n">
        <v>30001776</v>
      </c>
      <c r="B321" s="3" t="s">
        <v>294</v>
      </c>
      <c r="C321" s="3" t="s">
        <v>448</v>
      </c>
      <c r="D321" s="23" t="n">
        <v>348</v>
      </c>
      <c r="E321" s="23" t="n">
        <v>1173.33333333333</v>
      </c>
      <c r="F321" s="23" t="n">
        <f aca="false">D321-E321</f>
        <v>-825.333333333333</v>
      </c>
      <c r="G321" s="24" t="n">
        <f aca="false">IF(E321&gt;0,D321/E321-1,"")</f>
        <v>-0.703409090909091</v>
      </c>
      <c r="H321" s="3" t="str">
        <f aca="false">IF(MAX(D321,E321)&lt;Parametros!$B$16,"",IF(E321=0,"PIDE SIN FCST",IF(ABS(G321)&gt;Parametros!$B$14,IF(G321&gt;0,"SOBRE FCST","BAJO FCST"),"")))</f>
        <v>BAJO FCST</v>
      </c>
    </row>
    <row r="322" customFormat="false" ht="15" hidden="false" customHeight="false" outlineLevel="0" collapsed="false">
      <c r="A322" s="3" t="n">
        <v>30000010</v>
      </c>
      <c r="B322" s="3" t="s">
        <v>232</v>
      </c>
      <c r="C322" s="3" t="s">
        <v>454</v>
      </c>
      <c r="D322" s="23" t="n">
        <v>3864</v>
      </c>
      <c r="E322" s="23" t="n">
        <v>3045.79478913434</v>
      </c>
      <c r="F322" s="23" t="n">
        <f aca="false">D322-E322</f>
        <v>818.205210865659</v>
      </c>
      <c r="G322" s="24" t="n">
        <f aca="false">IF(E322&gt;0,D322/E322-1,"")</f>
        <v>0.268634385279188</v>
      </c>
      <c r="H322" s="3" t="str">
        <f aca="false">IF(MAX(D322,E322)&lt;Parametros!$B$16,"",IF(E322=0,"PIDE SIN FCST",IF(ABS(G322)&gt;Parametros!$B$14,IF(G322&gt;0,"SOBRE FCST","BAJO FCST"),"")))</f>
        <v>SOBRE FCST</v>
      </c>
    </row>
    <row r="323" customFormat="false" ht="15" hidden="false" customHeight="false" outlineLevel="0" collapsed="false">
      <c r="A323" s="3" t="n">
        <v>30000206</v>
      </c>
      <c r="B323" s="3" t="s">
        <v>218</v>
      </c>
      <c r="C323" s="3" t="s">
        <v>452</v>
      </c>
      <c r="D323" s="23" t="n">
        <v>1518</v>
      </c>
      <c r="E323" s="23" t="n">
        <v>2329.1861685767</v>
      </c>
      <c r="F323" s="23" t="n">
        <f aca="false">D323-E323</f>
        <v>-811.186168576695</v>
      </c>
      <c r="G323" s="24" t="n">
        <f aca="false">IF(E323&gt;0,D323/E323-1,"")</f>
        <v>-0.348270215374149</v>
      </c>
      <c r="H323" s="3" t="str">
        <f aca="false">IF(MAX(D323,E323)&lt;Parametros!$B$16,"",IF(E323=0,"PIDE SIN FCST",IF(ABS(G323)&gt;Parametros!$B$14,IF(G323&gt;0,"SOBRE FCST","BAJO FCST"),"")))</f>
        <v>BAJO FCST</v>
      </c>
    </row>
    <row r="324" customFormat="false" ht="15" hidden="false" customHeight="false" outlineLevel="0" collapsed="false">
      <c r="A324" s="3" t="n">
        <v>30002274</v>
      </c>
      <c r="B324" s="3" t="s">
        <v>287</v>
      </c>
      <c r="C324" s="3" t="s">
        <v>453</v>
      </c>
      <c r="D324" s="23" t="n">
        <v>291.6</v>
      </c>
      <c r="E324" s="23" t="n">
        <v>1100.625</v>
      </c>
      <c r="F324" s="23" t="n">
        <f aca="false">D324-E324</f>
        <v>-809.025</v>
      </c>
      <c r="G324" s="24" t="n">
        <f aca="false">IF(E324&gt;0,D324/E324-1,"")</f>
        <v>-0.735059625212947</v>
      </c>
      <c r="H324" s="3" t="str">
        <f aca="false">IF(MAX(D324,E324)&lt;Parametros!$B$16,"",IF(E324=0,"PIDE SIN FCST",IF(ABS(G324)&gt;Parametros!$B$14,IF(G324&gt;0,"SOBRE FCST","BAJO FCST"),"")))</f>
        <v>BAJO FCST</v>
      </c>
    </row>
    <row r="325" customFormat="false" ht="15" hidden="false" customHeight="false" outlineLevel="0" collapsed="false">
      <c r="A325" s="3" t="n">
        <v>30001665</v>
      </c>
      <c r="B325" s="3" t="s">
        <v>285</v>
      </c>
      <c r="C325" s="3" t="s">
        <v>455</v>
      </c>
      <c r="D325" s="23" t="n">
        <v>800</v>
      </c>
      <c r="E325" s="23" t="n">
        <v>1600</v>
      </c>
      <c r="F325" s="23" t="n">
        <f aca="false">D325-E325</f>
        <v>-800</v>
      </c>
      <c r="G325" s="24" t="n">
        <f aca="false">IF(E325&gt;0,D325/E325-1,"")</f>
        <v>-0.5</v>
      </c>
      <c r="H325" s="3" t="str">
        <f aca="false">IF(MAX(D325,E325)&lt;Parametros!$B$16,"",IF(E325=0,"PIDE SIN FCST",IF(ABS(G325)&gt;Parametros!$B$14,IF(G325&gt;0,"SOBRE FCST","BAJO FCST"),"")))</f>
        <v>BAJO FCST</v>
      </c>
    </row>
    <row r="326" customFormat="false" ht="15" hidden="false" customHeight="false" outlineLevel="0" collapsed="false">
      <c r="A326" s="3" t="n">
        <v>30001423</v>
      </c>
      <c r="B326" s="3" t="s">
        <v>230</v>
      </c>
      <c r="C326" s="3" t="s">
        <v>455</v>
      </c>
      <c r="D326" s="23" t="n">
        <v>6804</v>
      </c>
      <c r="E326" s="23" t="n">
        <v>7600</v>
      </c>
      <c r="F326" s="23" t="n">
        <f aca="false">D326-E326</f>
        <v>-796</v>
      </c>
      <c r="G326" s="24" t="n">
        <f aca="false">IF(E326&gt;0,D326/E326-1,"")</f>
        <v>-0.104736842105263</v>
      </c>
      <c r="H326" s="3" t="str">
        <f aca="false">IF(MAX(D326,E326)&lt;Parametros!$B$16,"",IF(E326=0,"PIDE SIN FCST",IF(ABS(G326)&gt;Parametros!$B$14,IF(G326&gt;0,"SOBRE FCST","BAJO FCST"),"")))</f>
        <v/>
      </c>
    </row>
    <row r="327" customFormat="false" ht="15" hidden="false" customHeight="false" outlineLevel="0" collapsed="false">
      <c r="A327" s="3" t="n">
        <v>30000514</v>
      </c>
      <c r="B327" s="3" t="s">
        <v>204</v>
      </c>
      <c r="C327" s="3" t="s">
        <v>447</v>
      </c>
      <c r="D327" s="23" t="n">
        <v>6120</v>
      </c>
      <c r="E327" s="23" t="n">
        <v>6915.53798296507</v>
      </c>
      <c r="F327" s="23" t="n">
        <f aca="false">D327-E327</f>
        <v>-795.537982965066</v>
      </c>
      <c r="G327" s="24" t="n">
        <f aca="false">IF(E327&gt;0,D327/E327-1,"")</f>
        <v>-0.115036311697615</v>
      </c>
      <c r="H327" s="3" t="str">
        <f aca="false">IF(MAX(D327,E327)&lt;Parametros!$B$16,"",IF(E327=0,"PIDE SIN FCST",IF(ABS(G327)&gt;Parametros!$B$14,IF(G327&gt;0,"SOBRE FCST","BAJO FCST"),"")))</f>
        <v/>
      </c>
    </row>
    <row r="328" customFormat="false" ht="15" hidden="false" customHeight="false" outlineLevel="0" collapsed="false">
      <c r="A328" s="3" t="n">
        <v>30000255</v>
      </c>
      <c r="B328" s="3" t="s">
        <v>193</v>
      </c>
      <c r="C328" s="3" t="s">
        <v>451</v>
      </c>
      <c r="D328" s="23" t="n">
        <v>72</v>
      </c>
      <c r="E328" s="23" t="n">
        <v>864</v>
      </c>
      <c r="F328" s="23" t="n">
        <f aca="false">D328-E328</f>
        <v>-792</v>
      </c>
      <c r="G328" s="24" t="n">
        <f aca="false">IF(E328&gt;0,D328/E328-1,"")</f>
        <v>-0.916666666666667</v>
      </c>
      <c r="H328" s="3" t="str">
        <f aca="false">IF(MAX(D328,E328)&lt;Parametros!$B$16,"",IF(E328=0,"PIDE SIN FCST",IF(ABS(G328)&gt;Parametros!$B$14,IF(G328&gt;0,"SOBRE FCST","BAJO FCST"),"")))</f>
        <v/>
      </c>
    </row>
    <row r="329" customFormat="false" ht="15" hidden="false" customHeight="false" outlineLevel="0" collapsed="false">
      <c r="A329" s="3" t="n">
        <v>30002180</v>
      </c>
      <c r="B329" s="3" t="s">
        <v>260</v>
      </c>
      <c r="C329" s="3" t="s">
        <v>455</v>
      </c>
      <c r="D329" s="23" t="n">
        <v>4924.8</v>
      </c>
      <c r="E329" s="23" t="n">
        <v>5710</v>
      </c>
      <c r="F329" s="23" t="n">
        <f aca="false">D329-E329</f>
        <v>-785.200000000001</v>
      </c>
      <c r="G329" s="24" t="n">
        <f aca="false">IF(E329&gt;0,D329/E329-1,"")</f>
        <v>-0.137513134851138</v>
      </c>
      <c r="H329" s="3" t="str">
        <f aca="false">IF(MAX(D329,E329)&lt;Parametros!$B$16,"",IF(E329=0,"PIDE SIN FCST",IF(ABS(G329)&gt;Parametros!$B$14,IF(G329&gt;0,"SOBRE FCST","BAJO FCST"),"")))</f>
        <v/>
      </c>
    </row>
    <row r="330" customFormat="false" ht="15" hidden="false" customHeight="false" outlineLevel="0" collapsed="false">
      <c r="A330" s="3" t="n">
        <v>30000305</v>
      </c>
      <c r="B330" s="3" t="s">
        <v>207</v>
      </c>
      <c r="C330" s="3" t="s">
        <v>455</v>
      </c>
      <c r="D330" s="23" t="n">
        <v>23760</v>
      </c>
      <c r="E330" s="23" t="n">
        <v>24530.956180575</v>
      </c>
      <c r="F330" s="23" t="n">
        <f aca="false">D330-E330</f>
        <v>-770.956180575031</v>
      </c>
      <c r="G330" s="24" t="n">
        <f aca="false">IF(E330&gt;0,D330/E330-1,"")</f>
        <v>-0.031427889516411</v>
      </c>
      <c r="H330" s="3" t="str">
        <f aca="false">IF(MAX(D330,E330)&lt;Parametros!$B$16,"",IF(E330=0,"PIDE SIN FCST",IF(ABS(G330)&gt;Parametros!$B$14,IF(G330&gt;0,"SOBRE FCST","BAJO FCST"),"")))</f>
        <v/>
      </c>
    </row>
    <row r="331" customFormat="false" ht="15" hidden="false" customHeight="false" outlineLevel="0" collapsed="false">
      <c r="A331" s="3" t="n">
        <v>30000543</v>
      </c>
      <c r="B331" s="3" t="s">
        <v>258</v>
      </c>
      <c r="C331" s="3" t="s">
        <v>453</v>
      </c>
      <c r="D331" s="23" t="n">
        <v>954</v>
      </c>
      <c r="E331" s="23" t="n">
        <v>1715.55640919632</v>
      </c>
      <c r="F331" s="23" t="n">
        <f aca="false">D331-E331</f>
        <v>-761.556409196319</v>
      </c>
      <c r="G331" s="24" t="n">
        <f aca="false">IF(E331&gt;0,D331/E331-1,"")</f>
        <v>-0.443912193801358</v>
      </c>
      <c r="H331" s="3" t="str">
        <f aca="false">IF(MAX(D331,E331)&lt;Parametros!$B$16,"",IF(E331=0,"PIDE SIN FCST",IF(ABS(G331)&gt;Parametros!$B$14,IF(G331&gt;0,"SOBRE FCST","BAJO FCST"),"")))</f>
        <v>BAJO FCST</v>
      </c>
    </row>
    <row r="332" customFormat="false" ht="15" hidden="false" customHeight="false" outlineLevel="0" collapsed="false">
      <c r="A332" s="3" t="n">
        <v>30000398</v>
      </c>
      <c r="B332" s="3" t="s">
        <v>221</v>
      </c>
      <c r="C332" s="3" t="s">
        <v>448</v>
      </c>
      <c r="D332" s="23" t="n">
        <v>4584</v>
      </c>
      <c r="E332" s="23" t="n">
        <v>5336.33333333333</v>
      </c>
      <c r="F332" s="23" t="n">
        <f aca="false">D332-E332</f>
        <v>-752.333333333334</v>
      </c>
      <c r="G332" s="24" t="n">
        <f aca="false">IF(E332&gt;0,D332/E332-1,"")</f>
        <v>-0.140983196951715</v>
      </c>
      <c r="H332" s="3" t="str">
        <f aca="false">IF(MAX(D332,E332)&lt;Parametros!$B$16,"",IF(E332=0,"PIDE SIN FCST",IF(ABS(G332)&gt;Parametros!$B$14,IF(G332&gt;0,"SOBRE FCST","BAJO FCST"),"")))</f>
        <v/>
      </c>
    </row>
    <row r="333" customFormat="false" ht="15" hidden="false" customHeight="false" outlineLevel="0" collapsed="false">
      <c r="A333" s="3" t="n">
        <v>30000305</v>
      </c>
      <c r="B333" s="3" t="s">
        <v>207</v>
      </c>
      <c r="C333" s="3" t="s">
        <v>448</v>
      </c>
      <c r="D333" s="23" t="n">
        <v>28314</v>
      </c>
      <c r="E333" s="23" t="n">
        <v>29057.1</v>
      </c>
      <c r="F333" s="23" t="n">
        <f aca="false">D333-E333</f>
        <v>-743.099999999999</v>
      </c>
      <c r="G333" s="24" t="n">
        <f aca="false">IF(E333&gt;0,D333/E333-1,"")</f>
        <v>-0.0255737840321298</v>
      </c>
      <c r="H333" s="3" t="str">
        <f aca="false">IF(MAX(D333,E333)&lt;Parametros!$B$16,"",IF(E333=0,"PIDE SIN FCST",IF(ABS(G333)&gt;Parametros!$B$14,IF(G333&gt;0,"SOBRE FCST","BAJO FCST"),"")))</f>
        <v/>
      </c>
    </row>
    <row r="334" customFormat="false" ht="15" hidden="false" customHeight="false" outlineLevel="0" collapsed="false">
      <c r="A334" s="3" t="n">
        <v>30001487</v>
      </c>
      <c r="B334" s="3" t="s">
        <v>238</v>
      </c>
      <c r="C334" s="3" t="s">
        <v>450</v>
      </c>
      <c r="D334" s="23" t="n">
        <v>7758</v>
      </c>
      <c r="E334" s="23" t="n">
        <v>8500</v>
      </c>
      <c r="F334" s="23" t="n">
        <f aca="false">D334-E334</f>
        <v>-742</v>
      </c>
      <c r="G334" s="24" t="n">
        <f aca="false">IF(E334&gt;0,D334/E334-1,"")</f>
        <v>-0.0872941176470589</v>
      </c>
      <c r="H334" s="3" t="str">
        <f aca="false">IF(MAX(D334,E334)&lt;Parametros!$B$16,"",IF(E334=0,"PIDE SIN FCST",IF(ABS(G334)&gt;Parametros!$B$14,IF(G334&gt;0,"SOBRE FCST","BAJO FCST"),"")))</f>
        <v/>
      </c>
    </row>
    <row r="335" customFormat="false" ht="15" hidden="false" customHeight="false" outlineLevel="0" collapsed="false">
      <c r="A335" s="3" t="n">
        <v>30002292</v>
      </c>
      <c r="B335" s="3" t="s">
        <v>265</v>
      </c>
      <c r="C335" s="3" t="s">
        <v>450</v>
      </c>
      <c r="D335" s="23" t="n">
        <v>8106</v>
      </c>
      <c r="E335" s="23" t="n">
        <v>7382.74721744423</v>
      </c>
      <c r="F335" s="23" t="n">
        <f aca="false">D335-E335</f>
        <v>723.252782555775</v>
      </c>
      <c r="G335" s="24" t="n">
        <f aca="false">IF(E335&gt;0,D335/E335-1,"")</f>
        <v>0.0979652643187956</v>
      </c>
      <c r="H335" s="3" t="str">
        <f aca="false">IF(MAX(D335,E335)&lt;Parametros!$B$16,"",IF(E335=0,"PIDE SIN FCST",IF(ABS(G335)&gt;Parametros!$B$14,IF(G335&gt;0,"SOBRE FCST","BAJO FCST"),"")))</f>
        <v/>
      </c>
    </row>
    <row r="336" customFormat="false" ht="15" hidden="false" customHeight="false" outlineLevel="0" collapsed="false">
      <c r="A336" s="3" t="n">
        <v>30000347</v>
      </c>
      <c r="B336" s="3" t="s">
        <v>227</v>
      </c>
      <c r="C336" s="3" t="s">
        <v>450</v>
      </c>
      <c r="D336" s="23" t="n">
        <v>2778</v>
      </c>
      <c r="E336" s="23" t="n">
        <v>3500</v>
      </c>
      <c r="F336" s="23" t="n">
        <f aca="false">D336-E336</f>
        <v>-722</v>
      </c>
      <c r="G336" s="24" t="n">
        <f aca="false">IF(E336&gt;0,D336/E336-1,"")</f>
        <v>-0.206285714285714</v>
      </c>
      <c r="H336" s="3" t="str">
        <f aca="false">IF(MAX(D336,E336)&lt;Parametros!$B$16,"",IF(E336=0,"PIDE SIN FCST",IF(ABS(G336)&gt;Parametros!$B$14,IF(G336&gt;0,"SOBRE FCST","BAJO FCST"),"")))</f>
        <v>BAJO FCST</v>
      </c>
    </row>
    <row r="337" customFormat="false" ht="15" hidden="false" customHeight="false" outlineLevel="0" collapsed="false">
      <c r="A337" s="3" t="n">
        <v>30000383</v>
      </c>
      <c r="B337" s="3" t="s">
        <v>288</v>
      </c>
      <c r="C337" s="3" t="s">
        <v>448</v>
      </c>
      <c r="D337" s="23" t="n">
        <v>204</v>
      </c>
      <c r="E337" s="23" t="n">
        <v>924.379166666667</v>
      </c>
      <c r="F337" s="23" t="n">
        <f aca="false">D337-E337</f>
        <v>-720.379166666667</v>
      </c>
      <c r="G337" s="24" t="n">
        <f aca="false">IF(E337&gt;0,D337/E337-1,"")</f>
        <v>-0.77931133959279</v>
      </c>
      <c r="H337" s="3" t="str">
        <f aca="false">IF(MAX(D337,E337)&lt;Parametros!$B$16,"",IF(E337=0,"PIDE SIN FCST",IF(ABS(G337)&gt;Parametros!$B$14,IF(G337&gt;0,"SOBRE FCST","BAJO FCST"),"")))</f>
        <v/>
      </c>
    </row>
    <row r="338" customFormat="false" ht="15" hidden="false" customHeight="false" outlineLevel="0" collapsed="false">
      <c r="A338" s="3" t="n">
        <v>30002282</v>
      </c>
      <c r="B338" s="3" t="s">
        <v>292</v>
      </c>
      <c r="C338" s="3" t="s">
        <v>448</v>
      </c>
      <c r="D338" s="23" t="n">
        <v>294</v>
      </c>
      <c r="E338" s="23" t="n">
        <v>1013.21666666667</v>
      </c>
      <c r="F338" s="23" t="n">
        <f aca="false">D338-E338</f>
        <v>-719.216666666667</v>
      </c>
      <c r="G338" s="24" t="n">
        <f aca="false">IF(E338&gt;0,D338/E338-1,"")</f>
        <v>-0.709835013899627</v>
      </c>
      <c r="H338" s="3" t="str">
        <f aca="false">IF(MAX(D338,E338)&lt;Parametros!$B$16,"",IF(E338=0,"PIDE SIN FCST",IF(ABS(G338)&gt;Parametros!$B$14,IF(G338&gt;0,"SOBRE FCST","BAJO FCST"),"")))</f>
        <v>BAJO FCST</v>
      </c>
    </row>
    <row r="339" customFormat="false" ht="15" hidden="false" customHeight="false" outlineLevel="0" collapsed="false">
      <c r="A339" s="3" t="n">
        <v>30000353</v>
      </c>
      <c r="B339" s="3" t="s">
        <v>191</v>
      </c>
      <c r="C339" s="3" t="s">
        <v>452</v>
      </c>
      <c r="D339" s="23" t="n">
        <v>5328</v>
      </c>
      <c r="E339" s="23" t="n">
        <v>4613.80184892119</v>
      </c>
      <c r="F339" s="23" t="n">
        <f aca="false">D339-E339</f>
        <v>714.198151078808</v>
      </c>
      <c r="G339" s="24" t="n">
        <f aca="false">IF(E339&gt;0,D339/E339-1,"")</f>
        <v>0.154796017355146</v>
      </c>
      <c r="H339" s="3" t="str">
        <f aca="false">IF(MAX(D339,E339)&lt;Parametros!$B$16,"",IF(E339=0,"PIDE SIN FCST",IF(ABS(G339)&gt;Parametros!$B$14,IF(G339&gt;0,"SOBRE FCST","BAJO FCST"),"")))</f>
        <v/>
      </c>
    </row>
    <row r="340" customFormat="false" ht="15" hidden="false" customHeight="false" outlineLevel="0" collapsed="false">
      <c r="A340" s="3" t="n">
        <v>30000401</v>
      </c>
      <c r="B340" s="3" t="s">
        <v>198</v>
      </c>
      <c r="C340" s="3" t="s">
        <v>455</v>
      </c>
      <c r="D340" s="23" t="n">
        <v>8640</v>
      </c>
      <c r="E340" s="23" t="n">
        <v>9348.2</v>
      </c>
      <c r="F340" s="23" t="n">
        <f aca="false">D340-E340</f>
        <v>-708.200000000001</v>
      </c>
      <c r="G340" s="24" t="n">
        <f aca="false">IF(E340&gt;0,D340/E340-1,"")</f>
        <v>-0.0757578999165616</v>
      </c>
      <c r="H340" s="3" t="str">
        <f aca="false">IF(MAX(D340,E340)&lt;Parametros!$B$16,"",IF(E340=0,"PIDE SIN FCST",IF(ABS(G340)&gt;Parametros!$B$14,IF(G340&gt;0,"SOBRE FCST","BAJO FCST"),"")))</f>
        <v/>
      </c>
    </row>
    <row r="341" customFormat="false" ht="15" hidden="false" customHeight="false" outlineLevel="0" collapsed="false">
      <c r="A341" s="3" t="n">
        <v>30001684</v>
      </c>
      <c r="B341" s="3" t="s">
        <v>213</v>
      </c>
      <c r="C341" s="3" t="s">
        <v>451</v>
      </c>
      <c r="D341" s="23" t="n">
        <v>708</v>
      </c>
      <c r="E341" s="23" t="n">
        <v>0</v>
      </c>
      <c r="F341" s="23" t="n">
        <f aca="false">D341-E341</f>
        <v>708</v>
      </c>
      <c r="G341" s="24" t="str">
        <f aca="false">IF(E341&gt;0,D341/E341-1,"")</f>
        <v/>
      </c>
      <c r="H341" s="3" t="str">
        <f aca="false">IF(MAX(D341,E341)&lt;Parametros!$B$16,"",IF(E341=0,"PIDE SIN FCST",IF(ABS(G341)&gt;Parametros!$B$14,IF(G341&gt;0,"SOBRE FCST","BAJO FCST"),"")))</f>
        <v/>
      </c>
    </row>
    <row r="342" customFormat="false" ht="15" hidden="false" customHeight="false" outlineLevel="0" collapsed="false">
      <c r="A342" s="3" t="n">
        <v>30000328</v>
      </c>
      <c r="B342" s="3" t="s">
        <v>241</v>
      </c>
      <c r="C342" s="3" t="s">
        <v>450</v>
      </c>
      <c r="D342" s="23" t="n">
        <v>5724</v>
      </c>
      <c r="E342" s="23" t="n">
        <v>6419.94</v>
      </c>
      <c r="F342" s="23" t="n">
        <f aca="false">D342-E342</f>
        <v>-695.94</v>
      </c>
      <c r="G342" s="24" t="n">
        <f aca="false">IF(E342&gt;0,D342/E342-1,"")</f>
        <v>-0.108402882269928</v>
      </c>
      <c r="H342" s="3" t="str">
        <f aca="false">IF(MAX(D342,E342)&lt;Parametros!$B$16,"",IF(E342=0,"PIDE SIN FCST",IF(ABS(G342)&gt;Parametros!$B$14,IF(G342&gt;0,"SOBRE FCST","BAJO FCST"),"")))</f>
        <v/>
      </c>
    </row>
    <row r="343" customFormat="false" ht="15" hidden="false" customHeight="false" outlineLevel="0" collapsed="false">
      <c r="A343" s="3" t="n">
        <v>30000006</v>
      </c>
      <c r="B343" s="3" t="s">
        <v>252</v>
      </c>
      <c r="C343" s="3" t="s">
        <v>448</v>
      </c>
      <c r="D343" s="23" t="n">
        <v>1056</v>
      </c>
      <c r="E343" s="23" t="n">
        <v>1751.70833333333</v>
      </c>
      <c r="F343" s="23" t="n">
        <f aca="false">D343-E343</f>
        <v>-695.708333333334</v>
      </c>
      <c r="G343" s="24" t="n">
        <f aca="false">IF(E343&gt;0,D343/E343-1,"")</f>
        <v>-0.397159915320759</v>
      </c>
      <c r="H343" s="3" t="str">
        <f aca="false">IF(MAX(D343,E343)&lt;Parametros!$B$16,"",IF(E343=0,"PIDE SIN FCST",IF(ABS(G343)&gt;Parametros!$B$14,IF(G343&gt;0,"SOBRE FCST","BAJO FCST"),"")))</f>
        <v>BAJO FCST</v>
      </c>
    </row>
    <row r="344" customFormat="false" ht="15" hidden="false" customHeight="false" outlineLevel="0" collapsed="false">
      <c r="A344" s="3" t="n">
        <v>30001405</v>
      </c>
      <c r="B344" s="3" t="s">
        <v>246</v>
      </c>
      <c r="C344" s="3" t="s">
        <v>453</v>
      </c>
      <c r="D344" s="23" t="n">
        <v>1755</v>
      </c>
      <c r="E344" s="23" t="n">
        <v>1062.08094663187</v>
      </c>
      <c r="F344" s="23" t="n">
        <f aca="false">D344-E344</f>
        <v>692.919053368135</v>
      </c>
      <c r="G344" s="24" t="n">
        <f aca="false">IF(E344&gt;0,D344/E344-1,"")</f>
        <v>0.652416424158217</v>
      </c>
      <c r="H344" s="3" t="str">
        <f aca="false">IF(MAX(D344,E344)&lt;Parametros!$B$16,"",IF(E344=0,"PIDE SIN FCST",IF(ABS(G344)&gt;Parametros!$B$14,IF(G344&gt;0,"SOBRE FCST","BAJO FCST"),"")))</f>
        <v>SOBRE FCST</v>
      </c>
    </row>
    <row r="345" customFormat="false" ht="15" hidden="false" customHeight="false" outlineLevel="0" collapsed="false">
      <c r="A345" s="3" t="n">
        <v>30002359</v>
      </c>
      <c r="B345" s="3" t="s">
        <v>251</v>
      </c>
      <c r="C345" s="3" t="s">
        <v>450</v>
      </c>
      <c r="D345" s="23" t="n">
        <v>6210</v>
      </c>
      <c r="E345" s="23" t="n">
        <v>5518</v>
      </c>
      <c r="F345" s="23" t="n">
        <f aca="false">D345-E345</f>
        <v>692</v>
      </c>
      <c r="G345" s="24" t="n">
        <f aca="false">IF(E345&gt;0,D345/E345-1,"")</f>
        <v>0.12540775643349</v>
      </c>
      <c r="H345" s="3" t="str">
        <f aca="false">IF(MAX(D345,E345)&lt;Parametros!$B$16,"",IF(E345=0,"PIDE SIN FCST",IF(ABS(G345)&gt;Parametros!$B$14,IF(G345&gt;0,"SOBRE FCST","BAJO FCST"),"")))</f>
        <v/>
      </c>
    </row>
    <row r="346" customFormat="false" ht="15" hidden="false" customHeight="false" outlineLevel="0" collapsed="false">
      <c r="A346" s="3" t="n">
        <v>30002292</v>
      </c>
      <c r="B346" s="3" t="s">
        <v>265</v>
      </c>
      <c r="C346" s="3" t="s">
        <v>453</v>
      </c>
      <c r="D346" s="23" t="n">
        <v>690</v>
      </c>
      <c r="E346" s="23" t="n">
        <v>0</v>
      </c>
      <c r="F346" s="23" t="n">
        <f aca="false">D346-E346</f>
        <v>690</v>
      </c>
      <c r="G346" s="24" t="str">
        <f aca="false">IF(E346&gt;0,D346/E346-1,"")</f>
        <v/>
      </c>
      <c r="H346" s="3" t="str">
        <f aca="false">IF(MAX(D346,E346)&lt;Parametros!$B$16,"",IF(E346=0,"PIDE SIN FCST",IF(ABS(G346)&gt;Parametros!$B$14,IF(G346&gt;0,"SOBRE FCST","BAJO FCST"),"")))</f>
        <v/>
      </c>
    </row>
    <row r="347" customFormat="false" ht="15" hidden="false" customHeight="false" outlineLevel="0" collapsed="false">
      <c r="A347" s="3" t="n">
        <v>30000351</v>
      </c>
      <c r="B347" s="3" t="s">
        <v>249</v>
      </c>
      <c r="C347" s="3" t="s">
        <v>451</v>
      </c>
      <c r="D347" s="23" t="n">
        <v>3318</v>
      </c>
      <c r="E347" s="23" t="n">
        <v>4000</v>
      </c>
      <c r="F347" s="23" t="n">
        <f aca="false">D347-E347</f>
        <v>-682</v>
      </c>
      <c r="G347" s="24" t="n">
        <f aca="false">IF(E347&gt;0,D347/E347-1,"")</f>
        <v>-0.1705</v>
      </c>
      <c r="H347" s="3" t="str">
        <f aca="false">IF(MAX(D347,E347)&lt;Parametros!$B$16,"",IF(E347=0,"PIDE SIN FCST",IF(ABS(G347)&gt;Parametros!$B$14,IF(G347&gt;0,"SOBRE FCST","BAJO FCST"),"")))</f>
        <v/>
      </c>
    </row>
    <row r="348" customFormat="false" ht="15" hidden="false" customHeight="false" outlineLevel="0" collapsed="false">
      <c r="A348" s="3" t="n">
        <v>30000207</v>
      </c>
      <c r="B348" s="3" t="s">
        <v>222</v>
      </c>
      <c r="C348" s="3" t="s">
        <v>455</v>
      </c>
      <c r="D348" s="23" t="n">
        <v>3156</v>
      </c>
      <c r="E348" s="23" t="n">
        <v>2474.17804145766</v>
      </c>
      <c r="F348" s="23" t="n">
        <f aca="false">D348-E348</f>
        <v>681.821958542343</v>
      </c>
      <c r="G348" s="24" t="n">
        <f aca="false">IF(E348&gt;0,D348/E348-1,"")</f>
        <v>0.275575139346338</v>
      </c>
      <c r="H348" s="3" t="str">
        <f aca="false">IF(MAX(D348,E348)&lt;Parametros!$B$16,"",IF(E348=0,"PIDE SIN FCST",IF(ABS(G348)&gt;Parametros!$B$14,IF(G348&gt;0,"SOBRE FCST","BAJO FCST"),"")))</f>
        <v>SOBRE FCST</v>
      </c>
    </row>
    <row r="349" customFormat="false" ht="15" hidden="false" customHeight="false" outlineLevel="0" collapsed="false">
      <c r="A349" s="3" t="n">
        <v>30002315</v>
      </c>
      <c r="B349" s="3" t="s">
        <v>208</v>
      </c>
      <c r="C349" s="3" t="s">
        <v>448</v>
      </c>
      <c r="D349" s="23" t="n">
        <v>2676</v>
      </c>
      <c r="E349" s="23" t="n">
        <v>1998.04166666667</v>
      </c>
      <c r="F349" s="23" t="n">
        <f aca="false">D349-E349</f>
        <v>677.958333333333</v>
      </c>
      <c r="G349" s="24" t="n">
        <f aca="false">IF(E349&gt;0,D349/E349-1,"")</f>
        <v>0.339311409088065</v>
      </c>
      <c r="H349" s="3" t="str">
        <f aca="false">IF(MAX(D349,E349)&lt;Parametros!$B$16,"",IF(E349=0,"PIDE SIN FCST",IF(ABS(G349)&gt;Parametros!$B$14,IF(G349&gt;0,"SOBRE FCST","BAJO FCST"),"")))</f>
        <v>SOBRE FCST</v>
      </c>
    </row>
    <row r="350" customFormat="false" ht="15" hidden="false" customHeight="false" outlineLevel="0" collapsed="false">
      <c r="A350" s="3" t="n">
        <v>30000327</v>
      </c>
      <c r="B350" s="3" t="s">
        <v>259</v>
      </c>
      <c r="C350" s="3" t="s">
        <v>448</v>
      </c>
      <c r="D350" s="23" t="n">
        <v>864</v>
      </c>
      <c r="E350" s="23" t="n">
        <v>1524.70833333333</v>
      </c>
      <c r="F350" s="23" t="n">
        <f aca="false">D350-E350</f>
        <v>-660.708333333333</v>
      </c>
      <c r="G350" s="24" t="n">
        <f aca="false">IF(E350&gt;0,D350/E350-1,"")</f>
        <v>-0.433334244254366</v>
      </c>
      <c r="H350" s="3" t="str">
        <f aca="false">IF(MAX(D350,E350)&lt;Parametros!$B$16,"",IF(E350=0,"PIDE SIN FCST",IF(ABS(G350)&gt;Parametros!$B$14,IF(G350&gt;0,"SOBRE FCST","BAJO FCST"),"")))</f>
        <v>BAJO FCST</v>
      </c>
    </row>
    <row r="351" customFormat="false" ht="15" hidden="false" customHeight="false" outlineLevel="0" collapsed="false">
      <c r="A351" s="3" t="n">
        <v>30002282</v>
      </c>
      <c r="B351" s="3" t="s">
        <v>292</v>
      </c>
      <c r="C351" s="3" t="s">
        <v>450</v>
      </c>
      <c r="D351" s="23" t="n">
        <v>2310</v>
      </c>
      <c r="E351" s="23" t="n">
        <v>1656.8</v>
      </c>
      <c r="F351" s="23" t="n">
        <f aca="false">D351-E351</f>
        <v>653.2</v>
      </c>
      <c r="G351" s="24" t="n">
        <f aca="false">IF(E351&gt;0,D351/E351-1,"")</f>
        <v>0.39425398358281</v>
      </c>
      <c r="H351" s="3" t="str">
        <f aca="false">IF(MAX(D351,E351)&lt;Parametros!$B$16,"",IF(E351=0,"PIDE SIN FCST",IF(ABS(G351)&gt;Parametros!$B$14,IF(G351&gt;0,"SOBRE FCST","BAJO FCST"),"")))</f>
        <v>SOBRE FCST</v>
      </c>
    </row>
    <row r="352" customFormat="false" ht="15" hidden="false" customHeight="false" outlineLevel="0" collapsed="false">
      <c r="A352" s="3" t="n">
        <v>30001149</v>
      </c>
      <c r="B352" s="3" t="s">
        <v>279</v>
      </c>
      <c r="C352" s="3" t="s">
        <v>455</v>
      </c>
      <c r="D352" s="23" t="n">
        <v>2040</v>
      </c>
      <c r="E352" s="23" t="n">
        <v>2686.65865897464</v>
      </c>
      <c r="F352" s="23" t="n">
        <f aca="false">D352-E352</f>
        <v>-646.658658974638</v>
      </c>
      <c r="G352" s="24" t="n">
        <f aca="false">IF(E352&gt;0,D352/E352-1,"")</f>
        <v>-0.240692525942776</v>
      </c>
      <c r="H352" s="3" t="str">
        <f aca="false">IF(MAX(D352,E352)&lt;Parametros!$B$16,"",IF(E352=0,"PIDE SIN FCST",IF(ABS(G352)&gt;Parametros!$B$14,IF(G352&gt;0,"SOBRE FCST","BAJO FCST"),"")))</f>
        <v>BAJO FCST</v>
      </c>
    </row>
    <row r="353" customFormat="false" ht="15" hidden="false" customHeight="false" outlineLevel="0" collapsed="false">
      <c r="A353" s="3" t="n">
        <v>30001716</v>
      </c>
      <c r="B353" s="3" t="s">
        <v>295</v>
      </c>
      <c r="C353" s="3" t="s">
        <v>448</v>
      </c>
      <c r="D353" s="23" t="n">
        <v>36</v>
      </c>
      <c r="E353" s="23" t="n">
        <v>676.552083333333</v>
      </c>
      <c r="F353" s="23" t="n">
        <f aca="false">D353-E353</f>
        <v>-640.552083333333</v>
      </c>
      <c r="G353" s="24" t="n">
        <f aca="false">IF(E353&gt;0,D353/E353-1,"")</f>
        <v>-0.946789019076506</v>
      </c>
      <c r="H353" s="3" t="str">
        <f aca="false">IF(MAX(D353,E353)&lt;Parametros!$B$16,"",IF(E353=0,"PIDE SIN FCST",IF(ABS(G353)&gt;Parametros!$B$14,IF(G353&gt;0,"SOBRE FCST","BAJO FCST"),"")))</f>
        <v/>
      </c>
    </row>
    <row r="354" customFormat="false" ht="15" hidden="false" customHeight="false" outlineLevel="0" collapsed="false">
      <c r="A354" s="3" t="n">
        <v>30001925</v>
      </c>
      <c r="B354" s="3" t="s">
        <v>283</v>
      </c>
      <c r="C354" s="3" t="s">
        <v>448</v>
      </c>
      <c r="D354" s="23" t="n">
        <v>631.35</v>
      </c>
      <c r="E354" s="23" t="n">
        <v>0</v>
      </c>
      <c r="F354" s="23" t="n">
        <f aca="false">D354-E354</f>
        <v>631.35</v>
      </c>
      <c r="G354" s="24" t="str">
        <f aca="false">IF(E354&gt;0,D354/E354-1,"")</f>
        <v/>
      </c>
      <c r="H354" s="3" t="str">
        <f aca="false">IF(MAX(D354,E354)&lt;Parametros!$B$16,"",IF(E354=0,"PIDE SIN FCST",IF(ABS(G354)&gt;Parametros!$B$14,IF(G354&gt;0,"SOBRE FCST","BAJO FCST"),"")))</f>
        <v/>
      </c>
    </row>
    <row r="355" customFormat="false" ht="15" hidden="false" customHeight="false" outlineLevel="0" collapsed="false">
      <c r="A355" s="3" t="n">
        <v>30000479</v>
      </c>
      <c r="B355" s="3" t="s">
        <v>289</v>
      </c>
      <c r="C355" s="3" t="s">
        <v>455</v>
      </c>
      <c r="D355" s="23" t="n">
        <v>1044</v>
      </c>
      <c r="E355" s="23" t="n">
        <v>1661.12512460353</v>
      </c>
      <c r="F355" s="23" t="n">
        <f aca="false">D355-E355</f>
        <v>-617.125124603534</v>
      </c>
      <c r="G355" s="24" t="n">
        <f aca="false">IF(E355&gt;0,D355/E355-1,"")</f>
        <v>-0.371510318797222</v>
      </c>
      <c r="H355" s="3" t="str">
        <f aca="false">IF(MAX(D355,E355)&lt;Parametros!$B$16,"",IF(E355=0,"PIDE SIN FCST",IF(ABS(G355)&gt;Parametros!$B$14,IF(G355&gt;0,"SOBRE FCST","BAJO FCST"),"")))</f>
        <v>BAJO FCST</v>
      </c>
    </row>
    <row r="356" customFormat="false" ht="15" hidden="false" customHeight="false" outlineLevel="0" collapsed="false">
      <c r="A356" s="3" t="n">
        <v>30000543</v>
      </c>
      <c r="B356" s="3" t="s">
        <v>258</v>
      </c>
      <c r="C356" s="3" t="s">
        <v>454</v>
      </c>
      <c r="D356" s="23" t="n">
        <v>5394</v>
      </c>
      <c r="E356" s="23" t="n">
        <v>4777.98</v>
      </c>
      <c r="F356" s="23" t="n">
        <f aca="false">D356-E356</f>
        <v>616.02</v>
      </c>
      <c r="G356" s="24" t="n">
        <f aca="false">IF(E356&gt;0,D356/E356-1,"")</f>
        <v>0.128928961611392</v>
      </c>
      <c r="H356" s="3" t="str">
        <f aca="false">IF(MAX(D356,E356)&lt;Parametros!$B$16,"",IF(E356=0,"PIDE SIN FCST",IF(ABS(G356)&gt;Parametros!$B$14,IF(G356&gt;0,"SOBRE FCST","BAJO FCST"),"")))</f>
        <v/>
      </c>
    </row>
    <row r="357" customFormat="false" ht="15" hidden="false" customHeight="false" outlineLevel="0" collapsed="false">
      <c r="A357" s="3" t="n">
        <v>30000351</v>
      </c>
      <c r="B357" s="3" t="s">
        <v>249</v>
      </c>
      <c r="C357" s="3" t="s">
        <v>453</v>
      </c>
      <c r="D357" s="23" t="n">
        <v>1830</v>
      </c>
      <c r="E357" s="23" t="n">
        <v>1223.12027807961</v>
      </c>
      <c r="F357" s="23" t="n">
        <f aca="false">D357-E357</f>
        <v>606.879721920393</v>
      </c>
      <c r="G357" s="24" t="n">
        <f aca="false">IF(E357&gt;0,D357/E357-1,"")</f>
        <v>0.496173379508711</v>
      </c>
      <c r="H357" s="3" t="str">
        <f aca="false">IF(MAX(D357,E357)&lt;Parametros!$B$16,"",IF(E357=0,"PIDE SIN FCST",IF(ABS(G357)&gt;Parametros!$B$14,IF(G357&gt;0,"SOBRE FCST","BAJO FCST"),"")))</f>
        <v>SOBRE FCST</v>
      </c>
    </row>
    <row r="358" customFormat="false" ht="15" hidden="false" customHeight="false" outlineLevel="0" collapsed="false">
      <c r="A358" s="3" t="n">
        <v>30001409</v>
      </c>
      <c r="B358" s="3" t="s">
        <v>211</v>
      </c>
      <c r="C358" s="3" t="s">
        <v>452</v>
      </c>
      <c r="D358" s="23" t="n">
        <v>5814</v>
      </c>
      <c r="E358" s="23" t="n">
        <v>5208.13769095989</v>
      </c>
      <c r="F358" s="23" t="n">
        <f aca="false">D358-E358</f>
        <v>605.862309040111</v>
      </c>
      <c r="G358" s="24" t="n">
        <f aca="false">IF(E358&gt;0,D358/E358-1,"")</f>
        <v>0.116329933076029</v>
      </c>
      <c r="H358" s="3" t="str">
        <f aca="false">IF(MAX(D358,E358)&lt;Parametros!$B$16,"",IF(E358=0,"PIDE SIN FCST",IF(ABS(G358)&gt;Parametros!$B$14,IF(G358&gt;0,"SOBRE FCST","BAJO FCST"),"")))</f>
        <v/>
      </c>
    </row>
    <row r="359" customFormat="false" ht="15" hidden="false" customHeight="false" outlineLevel="0" collapsed="false">
      <c r="A359" s="3" t="n">
        <v>30000305</v>
      </c>
      <c r="B359" s="3" t="s">
        <v>207</v>
      </c>
      <c r="C359" s="3" t="s">
        <v>452</v>
      </c>
      <c r="D359" s="23" t="n">
        <v>2934</v>
      </c>
      <c r="E359" s="23" t="n">
        <v>3532.69304325994</v>
      </c>
      <c r="F359" s="23" t="n">
        <f aca="false">D359-E359</f>
        <v>-598.693043259944</v>
      </c>
      <c r="G359" s="24" t="n">
        <f aca="false">IF(E359&gt;0,D359/E359-1,"")</f>
        <v>-0.169472138090853</v>
      </c>
      <c r="H359" s="3" t="str">
        <f aca="false">IF(MAX(D359,E359)&lt;Parametros!$B$16,"",IF(E359=0,"PIDE SIN FCST",IF(ABS(G359)&gt;Parametros!$B$14,IF(G359&gt;0,"SOBRE FCST","BAJO FCST"),"")))</f>
        <v/>
      </c>
    </row>
    <row r="360" customFormat="false" ht="15" hidden="false" customHeight="false" outlineLevel="0" collapsed="false">
      <c r="A360" s="3" t="n">
        <v>30002325</v>
      </c>
      <c r="B360" s="3" t="s">
        <v>272</v>
      </c>
      <c r="C360" s="3" t="s">
        <v>455</v>
      </c>
      <c r="D360" s="23" t="n">
        <v>9</v>
      </c>
      <c r="E360" s="23" t="n">
        <v>600</v>
      </c>
      <c r="F360" s="23" t="n">
        <f aca="false">D360-E360</f>
        <v>-591</v>
      </c>
      <c r="G360" s="24" t="n">
        <f aca="false">IF(E360&gt;0,D360/E360-1,"")</f>
        <v>-0.985</v>
      </c>
      <c r="H360" s="3" t="str">
        <f aca="false">IF(MAX(D360,E360)&lt;Parametros!$B$16,"",IF(E360=0,"PIDE SIN FCST",IF(ABS(G360)&gt;Parametros!$B$14,IF(G360&gt;0,"SOBRE FCST","BAJO FCST"),"")))</f>
        <v/>
      </c>
    </row>
    <row r="361" customFormat="false" ht="15" hidden="false" customHeight="false" outlineLevel="0" collapsed="false">
      <c r="A361" s="3" t="n">
        <v>30000318</v>
      </c>
      <c r="B361" s="3" t="s">
        <v>224</v>
      </c>
      <c r="C361" s="3" t="s">
        <v>453</v>
      </c>
      <c r="D361" s="23" t="n">
        <v>1836</v>
      </c>
      <c r="E361" s="23" t="n">
        <v>1245.10467583613</v>
      </c>
      <c r="F361" s="23" t="n">
        <f aca="false">D361-E361</f>
        <v>590.895324163875</v>
      </c>
      <c r="G361" s="24" t="n">
        <f aca="false">IF(E361&gt;0,D361/E361-1,"")</f>
        <v>0.474574817388001</v>
      </c>
      <c r="H361" s="3" t="str">
        <f aca="false">IF(MAX(D361,E361)&lt;Parametros!$B$16,"",IF(E361=0,"PIDE SIN FCST",IF(ABS(G361)&gt;Parametros!$B$14,IF(G361&gt;0,"SOBRE FCST","BAJO FCST"),"")))</f>
        <v>SOBRE FCST</v>
      </c>
    </row>
    <row r="362" customFormat="false" ht="15" hidden="false" customHeight="false" outlineLevel="0" collapsed="false">
      <c r="A362" s="3" t="n">
        <v>30000300</v>
      </c>
      <c r="B362" s="3" t="s">
        <v>219</v>
      </c>
      <c r="C362" s="3" t="s">
        <v>448</v>
      </c>
      <c r="D362" s="23" t="n">
        <v>6252</v>
      </c>
      <c r="E362" s="23" t="n">
        <v>6839.79166666667</v>
      </c>
      <c r="F362" s="23" t="n">
        <f aca="false">D362-E362</f>
        <v>-587.791666666666</v>
      </c>
      <c r="G362" s="24" t="n">
        <f aca="false">IF(E362&gt;0,D362/E362-1,"")</f>
        <v>-0.0859370716700678</v>
      </c>
      <c r="H362" s="3" t="str">
        <f aca="false">IF(MAX(D362,E362)&lt;Parametros!$B$16,"",IF(E362=0,"PIDE SIN FCST",IF(ABS(G362)&gt;Parametros!$B$14,IF(G362&gt;0,"SOBRE FCST","BAJO FCST"),"")))</f>
        <v/>
      </c>
    </row>
    <row r="363" customFormat="false" ht="15" hidden="false" customHeight="false" outlineLevel="0" collapsed="false">
      <c r="A363" s="3" t="n">
        <v>30000010</v>
      </c>
      <c r="B363" s="3" t="s">
        <v>232</v>
      </c>
      <c r="C363" s="3" t="s">
        <v>450</v>
      </c>
      <c r="D363" s="23" t="n">
        <v>7020</v>
      </c>
      <c r="E363" s="23" t="n">
        <v>7600</v>
      </c>
      <c r="F363" s="23" t="n">
        <f aca="false">D363-E363</f>
        <v>-580</v>
      </c>
      <c r="G363" s="24" t="n">
        <f aca="false">IF(E363&gt;0,D363/E363-1,"")</f>
        <v>-0.0763157894736842</v>
      </c>
      <c r="H363" s="3" t="str">
        <f aca="false">IF(MAX(D363,E363)&lt;Parametros!$B$16,"",IF(E363=0,"PIDE SIN FCST",IF(ABS(G363)&gt;Parametros!$B$14,IF(G363&gt;0,"SOBRE FCST","BAJO FCST"),"")))</f>
        <v/>
      </c>
    </row>
    <row r="364" customFormat="false" ht="15" hidden="false" customHeight="false" outlineLevel="0" collapsed="false">
      <c r="A364" s="3" t="n">
        <v>30002330</v>
      </c>
      <c r="B364" s="3" t="s">
        <v>215</v>
      </c>
      <c r="C364" s="3" t="s">
        <v>454</v>
      </c>
      <c r="D364" s="23" t="n">
        <v>1326</v>
      </c>
      <c r="E364" s="23" t="n">
        <v>1900</v>
      </c>
      <c r="F364" s="23" t="n">
        <f aca="false">D364-E364</f>
        <v>-574</v>
      </c>
      <c r="G364" s="24" t="n">
        <f aca="false">IF(E364&gt;0,D364/E364-1,"")</f>
        <v>-0.302105263157895</v>
      </c>
      <c r="H364" s="3" t="str">
        <f aca="false">IF(MAX(D364,E364)&lt;Parametros!$B$16,"",IF(E364=0,"PIDE SIN FCST",IF(ABS(G364)&gt;Parametros!$B$14,IF(G364&gt;0,"SOBRE FCST","BAJO FCST"),"")))</f>
        <v>BAJO FCST</v>
      </c>
    </row>
    <row r="365" customFormat="false" ht="15" hidden="false" customHeight="false" outlineLevel="0" collapsed="false">
      <c r="A365" s="3" t="n">
        <v>30000347</v>
      </c>
      <c r="B365" s="3" t="s">
        <v>227</v>
      </c>
      <c r="C365" s="3" t="s">
        <v>447</v>
      </c>
      <c r="D365" s="23" t="n">
        <v>1494</v>
      </c>
      <c r="E365" s="23" t="n">
        <v>921.753256914831</v>
      </c>
      <c r="F365" s="23" t="n">
        <f aca="false">D365-E365</f>
        <v>572.246743085169</v>
      </c>
      <c r="G365" s="24" t="n">
        <f aca="false">IF(E365&gt;0,D365/E365-1,"")</f>
        <v>0.620824216016894</v>
      </c>
      <c r="H365" s="3" t="str">
        <f aca="false">IF(MAX(D365,E365)&lt;Parametros!$B$16,"",IF(E365=0,"PIDE SIN FCST",IF(ABS(G365)&gt;Parametros!$B$14,IF(G365&gt;0,"SOBRE FCST","BAJO FCST"),"")))</f>
        <v>SOBRE FCST</v>
      </c>
    </row>
    <row r="366" customFormat="false" ht="15" hidden="false" customHeight="false" outlineLevel="0" collapsed="false">
      <c r="A366" s="3" t="n">
        <v>30001980</v>
      </c>
      <c r="B366" s="3" t="s">
        <v>247</v>
      </c>
      <c r="C366" s="3" t="s">
        <v>455</v>
      </c>
      <c r="D366" s="23" t="n">
        <v>8766</v>
      </c>
      <c r="E366" s="23" t="n">
        <v>8200</v>
      </c>
      <c r="F366" s="23" t="n">
        <f aca="false">D366-E366</f>
        <v>566</v>
      </c>
      <c r="G366" s="24" t="n">
        <f aca="false">IF(E366&gt;0,D366/E366-1,"")</f>
        <v>0.0690243902439025</v>
      </c>
      <c r="H366" s="3" t="str">
        <f aca="false">IF(MAX(D366,E366)&lt;Parametros!$B$16,"",IF(E366=0,"PIDE SIN FCST",IF(ABS(G366)&gt;Parametros!$B$14,IF(G366&gt;0,"SOBRE FCST","BAJO FCST"),"")))</f>
        <v/>
      </c>
    </row>
    <row r="367" customFormat="false" ht="15" hidden="false" customHeight="false" outlineLevel="0" collapsed="false">
      <c r="A367" s="3" t="n">
        <v>30000384</v>
      </c>
      <c r="B367" s="3" t="s">
        <v>210</v>
      </c>
      <c r="C367" s="3" t="s">
        <v>447</v>
      </c>
      <c r="D367" s="23" t="n">
        <v>2958</v>
      </c>
      <c r="E367" s="23" t="n">
        <v>2394.68606411489</v>
      </c>
      <c r="F367" s="23" t="n">
        <f aca="false">D367-E367</f>
        <v>563.313935885109</v>
      </c>
      <c r="G367" s="24" t="n">
        <f aca="false">IF(E367&gt;0,D367/E367-1,"")</f>
        <v>0.235234983126407</v>
      </c>
      <c r="H367" s="3" t="str">
        <f aca="false">IF(MAX(D367,E367)&lt;Parametros!$B$16,"",IF(E367=0,"PIDE SIN FCST",IF(ABS(G367)&gt;Parametros!$B$14,IF(G367&gt;0,"SOBRE FCST","BAJO FCST"),"")))</f>
        <v>SOBRE FCST</v>
      </c>
    </row>
    <row r="368" customFormat="false" ht="15" hidden="false" customHeight="false" outlineLevel="0" collapsed="false">
      <c r="A368" s="3" t="n">
        <v>30001882</v>
      </c>
      <c r="B368" s="3" t="s">
        <v>243</v>
      </c>
      <c r="C368" s="3" t="s">
        <v>455</v>
      </c>
      <c r="D368" s="23" t="n">
        <v>7560</v>
      </c>
      <c r="E368" s="23" t="n">
        <v>7000</v>
      </c>
      <c r="F368" s="23" t="n">
        <f aca="false">D368-E368</f>
        <v>560</v>
      </c>
      <c r="G368" s="24" t="n">
        <f aca="false">IF(E368&gt;0,D368/E368-1,"")</f>
        <v>0.0800000000000001</v>
      </c>
      <c r="H368" s="3" t="str">
        <f aca="false">IF(MAX(D368,E368)&lt;Parametros!$B$16,"",IF(E368=0,"PIDE SIN FCST",IF(ABS(G368)&gt;Parametros!$B$14,IF(G368&gt;0,"SOBRE FCST","BAJO FCST"),"")))</f>
        <v/>
      </c>
    </row>
    <row r="369" customFormat="false" ht="15" hidden="false" customHeight="false" outlineLevel="0" collapsed="false">
      <c r="A369" s="3" t="n">
        <v>30000306</v>
      </c>
      <c r="B369" s="3" t="s">
        <v>231</v>
      </c>
      <c r="C369" s="3" t="s">
        <v>452</v>
      </c>
      <c r="D369" s="23" t="n">
        <v>1440</v>
      </c>
      <c r="E369" s="23" t="n">
        <v>1997.70070127228</v>
      </c>
      <c r="F369" s="23" t="n">
        <f aca="false">D369-E369</f>
        <v>-557.700701272277</v>
      </c>
      <c r="G369" s="24" t="n">
        <f aca="false">IF(E369&gt;0,D369/E369-1,"")</f>
        <v>-0.279171299743297</v>
      </c>
      <c r="H369" s="3" t="str">
        <f aca="false">IF(MAX(D369,E369)&lt;Parametros!$B$16,"",IF(E369=0,"PIDE SIN FCST",IF(ABS(G369)&gt;Parametros!$B$14,IF(G369&gt;0,"SOBRE FCST","BAJO FCST"),"")))</f>
        <v>BAJO FCST</v>
      </c>
    </row>
    <row r="370" customFormat="false" ht="15" hidden="false" customHeight="false" outlineLevel="0" collapsed="false">
      <c r="A370" s="3" t="n">
        <v>30001715</v>
      </c>
      <c r="B370" s="3" t="s">
        <v>228</v>
      </c>
      <c r="C370" s="3" t="s">
        <v>452</v>
      </c>
      <c r="D370" s="23" t="n">
        <v>2166</v>
      </c>
      <c r="E370" s="23" t="n">
        <v>1610.87970400948</v>
      </c>
      <c r="F370" s="23" t="n">
        <f aca="false">D370-E370</f>
        <v>555.120295990525</v>
      </c>
      <c r="G370" s="24" t="n">
        <f aca="false">IF(E370&gt;0,D370/E370-1,"")</f>
        <v>0.344606921676915</v>
      </c>
      <c r="H370" s="3" t="str">
        <f aca="false">IF(MAX(D370,E370)&lt;Parametros!$B$16,"",IF(E370=0,"PIDE SIN FCST",IF(ABS(G370)&gt;Parametros!$B$14,IF(G370&gt;0,"SOBRE FCST","BAJO FCST"),"")))</f>
        <v>SOBRE FCST</v>
      </c>
    </row>
    <row r="371" customFormat="false" ht="15" hidden="false" customHeight="false" outlineLevel="0" collapsed="false">
      <c r="A371" s="3" t="n">
        <v>30000318</v>
      </c>
      <c r="B371" s="3" t="s">
        <v>224</v>
      </c>
      <c r="C371" s="3" t="s">
        <v>452</v>
      </c>
      <c r="D371" s="23" t="n">
        <v>1866</v>
      </c>
      <c r="E371" s="23" t="n">
        <v>2415.74882599685</v>
      </c>
      <c r="F371" s="23" t="n">
        <f aca="false">D371-E371</f>
        <v>-549.748825996846</v>
      </c>
      <c r="G371" s="24" t="n">
        <f aca="false">IF(E371&gt;0,D371/E371-1,"")</f>
        <v>-0.227568702540917</v>
      </c>
      <c r="H371" s="3" t="str">
        <f aca="false">IF(MAX(D371,E371)&lt;Parametros!$B$16,"",IF(E371=0,"PIDE SIN FCST",IF(ABS(G371)&gt;Parametros!$B$14,IF(G371&gt;0,"SOBRE FCST","BAJO FCST"),"")))</f>
        <v>BAJO FCST</v>
      </c>
    </row>
    <row r="372" customFormat="false" ht="15" hidden="false" customHeight="false" outlineLevel="0" collapsed="false">
      <c r="A372" s="3" t="n">
        <v>30001487</v>
      </c>
      <c r="B372" s="3" t="s">
        <v>238</v>
      </c>
      <c r="C372" s="3" t="s">
        <v>453</v>
      </c>
      <c r="D372" s="23" t="n">
        <v>2274</v>
      </c>
      <c r="E372" s="23" t="n">
        <v>2819.6</v>
      </c>
      <c r="F372" s="23" t="n">
        <f aca="false">D372-E372</f>
        <v>-545.6</v>
      </c>
      <c r="G372" s="24" t="n">
        <f aca="false">IF(E372&gt;0,D372/E372-1,"")</f>
        <v>-0.193502624485743</v>
      </c>
      <c r="H372" s="3" t="str">
        <f aca="false">IF(MAX(D372,E372)&lt;Parametros!$B$16,"",IF(E372=0,"PIDE SIN FCST",IF(ABS(G372)&gt;Parametros!$B$14,IF(G372&gt;0,"SOBRE FCST","BAJO FCST"),"")))</f>
        <v/>
      </c>
    </row>
    <row r="373" customFormat="false" ht="15" hidden="false" customHeight="false" outlineLevel="0" collapsed="false">
      <c r="A373" s="3" t="n">
        <v>30001665</v>
      </c>
      <c r="B373" s="3" t="s">
        <v>285</v>
      </c>
      <c r="C373" s="3" t="s">
        <v>448</v>
      </c>
      <c r="D373" s="23" t="n">
        <v>1216</v>
      </c>
      <c r="E373" s="23" t="n">
        <v>675.066666666667</v>
      </c>
      <c r="F373" s="23" t="n">
        <f aca="false">D373-E373</f>
        <v>540.933333333333</v>
      </c>
      <c r="G373" s="24" t="n">
        <f aca="false">IF(E373&gt;0,D373/E373-1,"")</f>
        <v>0.80130357495556</v>
      </c>
      <c r="H373" s="3" t="str">
        <f aca="false">IF(MAX(D373,E373)&lt;Parametros!$B$16,"",IF(E373=0,"PIDE SIN FCST",IF(ABS(G373)&gt;Parametros!$B$14,IF(G373&gt;0,"SOBRE FCST","BAJO FCST"),"")))</f>
        <v>SOBRE FCST</v>
      </c>
    </row>
    <row r="374" customFormat="false" ht="15" hidden="false" customHeight="false" outlineLevel="0" collapsed="false">
      <c r="A374" s="3" t="n">
        <v>30000258</v>
      </c>
      <c r="B374" s="3" t="s">
        <v>196</v>
      </c>
      <c r="C374" s="3" t="s">
        <v>448</v>
      </c>
      <c r="D374" s="23" t="n">
        <v>25110</v>
      </c>
      <c r="E374" s="23" t="n">
        <v>24569.6692666667</v>
      </c>
      <c r="F374" s="23" t="n">
        <f aca="false">D374-E374</f>
        <v>540.330733333329</v>
      </c>
      <c r="G374" s="24" t="n">
        <f aca="false">IF(E374&gt;0,D374/E374-1,"")</f>
        <v>0.0219917788664086</v>
      </c>
      <c r="H374" s="3" t="str">
        <f aca="false">IF(MAX(D374,E374)&lt;Parametros!$B$16,"",IF(E374=0,"PIDE SIN FCST",IF(ABS(G374)&gt;Parametros!$B$14,IF(G374&gt;0,"SOBRE FCST","BAJO FCST"),"")))</f>
        <v/>
      </c>
    </row>
    <row r="375" customFormat="false" ht="15" hidden="false" customHeight="false" outlineLevel="0" collapsed="false">
      <c r="A375" s="3" t="n">
        <v>30001376</v>
      </c>
      <c r="B375" s="3" t="s">
        <v>254</v>
      </c>
      <c r="C375" s="3" t="s">
        <v>455</v>
      </c>
      <c r="D375" s="23" t="n">
        <v>4536</v>
      </c>
      <c r="E375" s="23" t="n">
        <v>4000</v>
      </c>
      <c r="F375" s="23" t="n">
        <f aca="false">D375-E375</f>
        <v>536</v>
      </c>
      <c r="G375" s="24" t="n">
        <f aca="false">IF(E375&gt;0,D375/E375-1,"")</f>
        <v>0.134</v>
      </c>
      <c r="H375" s="3" t="str">
        <f aca="false">IF(MAX(D375,E375)&lt;Parametros!$B$16,"",IF(E375=0,"PIDE SIN FCST",IF(ABS(G375)&gt;Parametros!$B$14,IF(G375&gt;0,"SOBRE FCST","BAJO FCST"),"")))</f>
        <v/>
      </c>
    </row>
    <row r="376" customFormat="false" ht="15" hidden="false" customHeight="false" outlineLevel="0" collapsed="false">
      <c r="A376" s="3" t="n">
        <v>30001992</v>
      </c>
      <c r="B376" s="3" t="s">
        <v>269</v>
      </c>
      <c r="C376" s="3" t="s">
        <v>453</v>
      </c>
      <c r="D376" s="23" t="n">
        <v>912</v>
      </c>
      <c r="E376" s="23" t="n">
        <v>379.349798549557</v>
      </c>
      <c r="F376" s="23" t="n">
        <f aca="false">D376-E376</f>
        <v>532.650201450443</v>
      </c>
      <c r="G376" s="24" t="n">
        <f aca="false">IF(E376&gt;0,D376/E376-1,"")</f>
        <v>1.40411357403386</v>
      </c>
      <c r="H376" s="3" t="str">
        <f aca="false">IF(MAX(D376,E376)&lt;Parametros!$B$16,"",IF(E376=0,"PIDE SIN FCST",IF(ABS(G376)&gt;Parametros!$B$14,IF(G376&gt;0,"SOBRE FCST","BAJO FCST"),"")))</f>
        <v/>
      </c>
    </row>
    <row r="377" customFormat="false" ht="15" hidden="false" customHeight="false" outlineLevel="0" collapsed="false">
      <c r="A377" s="3" t="n">
        <v>30001376</v>
      </c>
      <c r="B377" s="3" t="s">
        <v>254</v>
      </c>
      <c r="C377" s="3" t="s">
        <v>447</v>
      </c>
      <c r="D377" s="23" t="n">
        <v>850.5</v>
      </c>
      <c r="E377" s="23" t="n">
        <v>1381.72312932526</v>
      </c>
      <c r="F377" s="23" t="n">
        <f aca="false">D377-E377</f>
        <v>-531.22312932526</v>
      </c>
      <c r="G377" s="24" t="n">
        <f aca="false">IF(E377&gt;0,D377/E377-1,"")</f>
        <v>-0.384464237480539</v>
      </c>
      <c r="H377" s="3" t="str">
        <f aca="false">IF(MAX(D377,E377)&lt;Parametros!$B$16,"",IF(E377=0,"PIDE SIN FCST",IF(ABS(G377)&gt;Parametros!$B$14,IF(G377&gt;0,"SOBRE FCST","BAJO FCST"),"")))</f>
        <v>BAJO FCST</v>
      </c>
    </row>
    <row r="378" customFormat="false" ht="15" hidden="false" customHeight="false" outlineLevel="0" collapsed="false">
      <c r="A378" s="3" t="n">
        <v>30002125</v>
      </c>
      <c r="B378" s="3" t="s">
        <v>262</v>
      </c>
      <c r="C378" s="3" t="s">
        <v>454</v>
      </c>
      <c r="D378" s="23" t="n">
        <v>1900</v>
      </c>
      <c r="E378" s="23" t="n">
        <v>2428</v>
      </c>
      <c r="F378" s="23" t="n">
        <f aca="false">D378-E378</f>
        <v>-528</v>
      </c>
      <c r="G378" s="24" t="n">
        <f aca="false">IF(E378&gt;0,D378/E378-1,"")</f>
        <v>-0.217462932454695</v>
      </c>
      <c r="H378" s="3" t="str">
        <f aca="false">IF(MAX(D378,E378)&lt;Parametros!$B$16,"",IF(E378=0,"PIDE SIN FCST",IF(ABS(G378)&gt;Parametros!$B$14,IF(G378&gt;0,"SOBRE FCST","BAJO FCST"),"")))</f>
        <v>BAJO FCST</v>
      </c>
    </row>
    <row r="379" customFormat="false" ht="15" hidden="false" customHeight="false" outlineLevel="0" collapsed="false">
      <c r="A379" s="3" t="n">
        <v>30000398</v>
      </c>
      <c r="B379" s="3" t="s">
        <v>221</v>
      </c>
      <c r="C379" s="3" t="s">
        <v>452</v>
      </c>
      <c r="D379" s="23" t="n">
        <v>2844</v>
      </c>
      <c r="E379" s="23" t="n">
        <v>3370.02422717585</v>
      </c>
      <c r="F379" s="23" t="n">
        <f aca="false">D379-E379</f>
        <v>-526.024227175853</v>
      </c>
      <c r="G379" s="24" t="n">
        <f aca="false">IF(E379&gt;0,D379/E379-1,"")</f>
        <v>-0.156089152990058</v>
      </c>
      <c r="H379" s="3" t="str">
        <f aca="false">IF(MAX(D379,E379)&lt;Parametros!$B$16,"",IF(E379=0,"PIDE SIN FCST",IF(ABS(G379)&gt;Parametros!$B$14,IF(G379&gt;0,"SOBRE FCST","BAJO FCST"),"")))</f>
        <v/>
      </c>
    </row>
    <row r="380" customFormat="false" ht="15" hidden="false" customHeight="false" outlineLevel="0" collapsed="false">
      <c r="A380" s="3" t="n">
        <v>30001992</v>
      </c>
      <c r="B380" s="3" t="s">
        <v>269</v>
      </c>
      <c r="C380" s="3" t="s">
        <v>450</v>
      </c>
      <c r="D380" s="23" t="n">
        <v>3012</v>
      </c>
      <c r="E380" s="23" t="n">
        <v>2500</v>
      </c>
      <c r="F380" s="23" t="n">
        <f aca="false">D380-E380</f>
        <v>512</v>
      </c>
      <c r="G380" s="24" t="n">
        <f aca="false">IF(E380&gt;0,D380/E380-1,"")</f>
        <v>0.2048</v>
      </c>
      <c r="H380" s="3" t="str">
        <f aca="false">IF(MAX(D380,E380)&lt;Parametros!$B$16,"",IF(E380=0,"PIDE SIN FCST",IF(ABS(G380)&gt;Parametros!$B$14,IF(G380&gt;0,"SOBRE FCST","BAJO FCST"),"")))</f>
        <v>SOBRE FCST</v>
      </c>
    </row>
    <row r="381" customFormat="false" ht="15" hidden="false" customHeight="false" outlineLevel="0" collapsed="false">
      <c r="A381" s="3" t="n">
        <v>30002272</v>
      </c>
      <c r="B381" s="3" t="s">
        <v>242</v>
      </c>
      <c r="C381" s="3" t="s">
        <v>448</v>
      </c>
      <c r="D381" s="23" t="n">
        <v>756</v>
      </c>
      <c r="E381" s="23" t="n">
        <v>1260.41666666667</v>
      </c>
      <c r="F381" s="23" t="n">
        <f aca="false">D381-E381</f>
        <v>-504.416666666667</v>
      </c>
      <c r="G381" s="24" t="n">
        <f aca="false">IF(E381&gt;0,D381/E381-1,"")</f>
        <v>-0.400198347107438</v>
      </c>
      <c r="H381" s="3" t="str">
        <f aca="false">IF(MAX(D381,E381)&lt;Parametros!$B$16,"",IF(E381=0,"PIDE SIN FCST",IF(ABS(G381)&gt;Parametros!$B$14,IF(G381&gt;0,"SOBRE FCST","BAJO FCST"),"")))</f>
        <v>BAJO FCST</v>
      </c>
    </row>
    <row r="382" customFormat="false" ht="15" hidden="false" customHeight="false" outlineLevel="0" collapsed="false">
      <c r="A382" s="3" t="n">
        <v>30002098</v>
      </c>
      <c r="B382" s="3" t="s">
        <v>261</v>
      </c>
      <c r="C382" s="3" t="s">
        <v>453</v>
      </c>
      <c r="D382" s="23" t="n">
        <v>801</v>
      </c>
      <c r="E382" s="23" t="n">
        <v>1302.02665203753</v>
      </c>
      <c r="F382" s="23" t="n">
        <f aca="false">D382-E382</f>
        <v>-501.026652037525</v>
      </c>
      <c r="G382" s="24" t="n">
        <f aca="false">IF(E382&gt;0,D382/E382-1,"")</f>
        <v>-0.384805219811342</v>
      </c>
      <c r="H382" s="3" t="str">
        <f aca="false">IF(MAX(D382,E382)&lt;Parametros!$B$16,"",IF(E382=0,"PIDE SIN FCST",IF(ABS(G382)&gt;Parametros!$B$14,IF(G382&gt;0,"SOBRE FCST","BAJO FCST"),"")))</f>
        <v>BAJO FCST</v>
      </c>
    </row>
    <row r="383" customFormat="false" ht="15" hidden="false" customHeight="false" outlineLevel="0" collapsed="false">
      <c r="A383" s="3" t="n">
        <v>30002098</v>
      </c>
      <c r="B383" s="3" t="s">
        <v>261</v>
      </c>
      <c r="C383" s="3" t="s">
        <v>450</v>
      </c>
      <c r="D383" s="23" t="n">
        <v>3249</v>
      </c>
      <c r="E383" s="23" t="n">
        <v>2750</v>
      </c>
      <c r="F383" s="23" t="n">
        <f aca="false">D383-E383</f>
        <v>499</v>
      </c>
      <c r="G383" s="24" t="n">
        <f aca="false">IF(E383&gt;0,D383/E383-1,"")</f>
        <v>0.181454545454546</v>
      </c>
      <c r="H383" s="3" t="str">
        <f aca="false">IF(MAX(D383,E383)&lt;Parametros!$B$16,"",IF(E383=0,"PIDE SIN FCST",IF(ABS(G383)&gt;Parametros!$B$14,IF(G383&gt;0,"SOBRE FCST","BAJO FCST"),"")))</f>
        <v/>
      </c>
    </row>
    <row r="384" customFormat="false" ht="15" hidden="false" customHeight="false" outlineLevel="0" collapsed="false">
      <c r="A384" s="3" t="n">
        <v>30001882</v>
      </c>
      <c r="B384" s="3" t="s">
        <v>243</v>
      </c>
      <c r="C384" s="3" t="s">
        <v>450</v>
      </c>
      <c r="D384" s="23" t="n">
        <v>4398</v>
      </c>
      <c r="E384" s="23" t="n">
        <v>3900</v>
      </c>
      <c r="F384" s="23" t="n">
        <f aca="false">D384-E384</f>
        <v>498</v>
      </c>
      <c r="G384" s="24" t="n">
        <f aca="false">IF(E384&gt;0,D384/E384-1,"")</f>
        <v>0.127692307692308</v>
      </c>
      <c r="H384" s="3" t="str">
        <f aca="false">IF(MAX(D384,E384)&lt;Parametros!$B$16,"",IF(E384=0,"PIDE SIN FCST",IF(ABS(G384)&gt;Parametros!$B$14,IF(G384&gt;0,"SOBRE FCST","BAJO FCST"),"")))</f>
        <v/>
      </c>
    </row>
    <row r="385" customFormat="false" ht="15" hidden="false" customHeight="false" outlineLevel="0" collapsed="false">
      <c r="A385" s="3" t="n">
        <v>30002078</v>
      </c>
      <c r="B385" s="3" t="s">
        <v>233</v>
      </c>
      <c r="C385" s="3" t="s">
        <v>448</v>
      </c>
      <c r="D385" s="23" t="n">
        <v>3228</v>
      </c>
      <c r="E385" s="23" t="n">
        <v>2733.08083333333</v>
      </c>
      <c r="F385" s="23" t="n">
        <f aca="false">D385-E385</f>
        <v>494.919166666667</v>
      </c>
      <c r="G385" s="24" t="n">
        <f aca="false">IF(E385&gt;0,D385/E385-1,"")</f>
        <v>0.181084716057612</v>
      </c>
      <c r="H385" s="3" t="str">
        <f aca="false">IF(MAX(D385,E385)&lt;Parametros!$B$16,"",IF(E385=0,"PIDE SIN FCST",IF(ABS(G385)&gt;Parametros!$B$14,IF(G385&gt;0,"SOBRE FCST","BAJO FCST"),"")))</f>
        <v/>
      </c>
    </row>
    <row r="386" customFormat="false" ht="15" hidden="false" customHeight="false" outlineLevel="0" collapsed="false">
      <c r="A386" s="3" t="n">
        <v>30002217</v>
      </c>
      <c r="B386" s="3" t="s">
        <v>291</v>
      </c>
      <c r="C386" s="3" t="s">
        <v>448</v>
      </c>
      <c r="D386" s="23" t="n">
        <v>493.35</v>
      </c>
      <c r="E386" s="23" t="n">
        <v>0</v>
      </c>
      <c r="F386" s="23" t="n">
        <f aca="false">D386-E386</f>
        <v>493.35</v>
      </c>
      <c r="G386" s="24" t="str">
        <f aca="false">IF(E386&gt;0,D386/E386-1,"")</f>
        <v/>
      </c>
      <c r="H386" s="3" t="str">
        <f aca="false">IF(MAX(D386,E386)&lt;Parametros!$B$16,"",IF(E386=0,"PIDE SIN FCST",IF(ABS(G386)&gt;Parametros!$B$14,IF(G386&gt;0,"SOBRE FCST","BAJO FCST"),"")))</f>
        <v/>
      </c>
    </row>
    <row r="387" customFormat="false" ht="15" hidden="false" customHeight="false" outlineLevel="0" collapsed="false">
      <c r="A387" s="3" t="n">
        <v>30000206</v>
      </c>
      <c r="B387" s="3" t="s">
        <v>218</v>
      </c>
      <c r="C387" s="3" t="s">
        <v>455</v>
      </c>
      <c r="D387" s="23" t="n">
        <v>14592</v>
      </c>
      <c r="E387" s="23" t="n">
        <v>14100</v>
      </c>
      <c r="F387" s="23" t="n">
        <f aca="false">D387-E387</f>
        <v>492</v>
      </c>
      <c r="G387" s="24" t="n">
        <f aca="false">IF(E387&gt;0,D387/E387-1,"")</f>
        <v>0.0348936170212766</v>
      </c>
      <c r="H387" s="3" t="str">
        <f aca="false">IF(MAX(D387,E387)&lt;Parametros!$B$16,"",IF(E387=0,"PIDE SIN FCST",IF(ABS(G387)&gt;Parametros!$B$14,IF(G387&gt;0,"SOBRE FCST","BAJO FCST"),"")))</f>
        <v/>
      </c>
    </row>
    <row r="388" customFormat="false" ht="15" hidden="false" customHeight="false" outlineLevel="0" collapsed="false">
      <c r="A388" s="3" t="n">
        <v>30000307</v>
      </c>
      <c r="B388" s="3" t="s">
        <v>256</v>
      </c>
      <c r="C388" s="3" t="s">
        <v>455</v>
      </c>
      <c r="D388" s="23" t="n">
        <v>3456</v>
      </c>
      <c r="E388" s="23" t="n">
        <v>3943.69374669939</v>
      </c>
      <c r="F388" s="23" t="n">
        <f aca="false">D388-E388</f>
        <v>-487.693746699388</v>
      </c>
      <c r="G388" s="24" t="n">
        <f aca="false">IF(E388&gt;0,D388/E388-1,"")</f>
        <v>-0.123664203668846</v>
      </c>
      <c r="H388" s="3" t="str">
        <f aca="false">IF(MAX(D388,E388)&lt;Parametros!$B$16,"",IF(E388=0,"PIDE SIN FCST",IF(ABS(G388)&gt;Parametros!$B$14,IF(G388&gt;0,"SOBRE FCST","BAJO FCST"),"")))</f>
        <v/>
      </c>
    </row>
    <row r="389" customFormat="false" ht="15" hidden="false" customHeight="false" outlineLevel="0" collapsed="false">
      <c r="A389" s="3" t="n">
        <v>30000245</v>
      </c>
      <c r="B389" s="3" t="s">
        <v>250</v>
      </c>
      <c r="C389" s="3" t="s">
        <v>451</v>
      </c>
      <c r="D389" s="23" t="n">
        <v>480</v>
      </c>
      <c r="E389" s="23" t="n">
        <v>0</v>
      </c>
      <c r="F389" s="23" t="n">
        <f aca="false">D389-E389</f>
        <v>480</v>
      </c>
      <c r="G389" s="24" t="str">
        <f aca="false">IF(E389&gt;0,D389/E389-1,"")</f>
        <v/>
      </c>
      <c r="H389" s="3" t="str">
        <f aca="false">IF(MAX(D389,E389)&lt;Parametros!$B$16,"",IF(E389=0,"PIDE SIN FCST",IF(ABS(G389)&gt;Parametros!$B$14,IF(G389&gt;0,"SOBRE FCST","BAJO FCST"),"")))</f>
        <v/>
      </c>
    </row>
    <row r="390" customFormat="false" ht="15" hidden="false" customHeight="false" outlineLevel="0" collapsed="false">
      <c r="A390" s="3" t="n">
        <v>30001715</v>
      </c>
      <c r="B390" s="3" t="s">
        <v>228</v>
      </c>
      <c r="C390" s="3" t="s">
        <v>448</v>
      </c>
      <c r="D390" s="23" t="n">
        <v>3131.2</v>
      </c>
      <c r="E390" s="23" t="n">
        <v>2651.32</v>
      </c>
      <c r="F390" s="23" t="n">
        <f aca="false">D390-E390</f>
        <v>479.88</v>
      </c>
      <c r="G390" s="24" t="n">
        <f aca="false">IF(E390&gt;0,D390/E390-1,"")</f>
        <v>0.180996635638097</v>
      </c>
      <c r="H390" s="3" t="str">
        <f aca="false">IF(MAX(D390,E390)&lt;Parametros!$B$16,"",IF(E390=0,"PIDE SIN FCST",IF(ABS(G390)&gt;Parametros!$B$14,IF(G390&gt;0,"SOBRE FCST","BAJO FCST"),"")))</f>
        <v/>
      </c>
    </row>
    <row r="391" customFormat="false" ht="15" hidden="false" customHeight="false" outlineLevel="0" collapsed="false">
      <c r="A391" s="3" t="n">
        <v>30000318</v>
      </c>
      <c r="B391" s="3" t="s">
        <v>224</v>
      </c>
      <c r="C391" s="3" t="s">
        <v>450</v>
      </c>
      <c r="D391" s="23" t="n">
        <v>6354</v>
      </c>
      <c r="E391" s="23" t="n">
        <v>5874.21</v>
      </c>
      <c r="F391" s="23" t="n">
        <f aca="false">D391-E391</f>
        <v>479.79</v>
      </c>
      <c r="G391" s="24" t="n">
        <f aca="false">IF(E391&gt;0,D391/E391-1,"")</f>
        <v>0.081677365977723</v>
      </c>
      <c r="H391" s="3" t="str">
        <f aca="false">IF(MAX(D391,E391)&lt;Parametros!$B$16,"",IF(E391=0,"PIDE SIN FCST",IF(ABS(G391)&gt;Parametros!$B$14,IF(G391&gt;0,"SOBRE FCST","BAJO FCST"),"")))</f>
        <v/>
      </c>
    </row>
    <row r="392" customFormat="false" ht="15" hidden="false" customHeight="false" outlineLevel="0" collapsed="false">
      <c r="A392" s="3" t="n">
        <v>30002276</v>
      </c>
      <c r="B392" s="3" t="s">
        <v>276</v>
      </c>
      <c r="C392" s="3" t="s">
        <v>454</v>
      </c>
      <c r="D392" s="23" t="n">
        <v>720</v>
      </c>
      <c r="E392" s="23" t="n">
        <v>240.857</v>
      </c>
      <c r="F392" s="23" t="n">
        <f aca="false">D392-E392</f>
        <v>479.143</v>
      </c>
      <c r="G392" s="24" t="n">
        <f aca="false">IF(E392&gt;0,D392/E392-1,"")</f>
        <v>1.98932561644461</v>
      </c>
      <c r="H392" s="3" t="str">
        <f aca="false">IF(MAX(D392,E392)&lt;Parametros!$B$16,"",IF(E392=0,"PIDE SIN FCST",IF(ABS(G392)&gt;Parametros!$B$14,IF(G392&gt;0,"SOBRE FCST","BAJO FCST"),"")))</f>
        <v/>
      </c>
    </row>
    <row r="393" customFormat="false" ht="15" hidden="false" customHeight="false" outlineLevel="0" collapsed="false">
      <c r="A393" s="3" t="n">
        <v>30001776</v>
      </c>
      <c r="B393" s="3" t="s">
        <v>294</v>
      </c>
      <c r="C393" s="3" t="s">
        <v>450</v>
      </c>
      <c r="D393" s="23" t="n">
        <v>372</v>
      </c>
      <c r="E393" s="23" t="n">
        <v>850</v>
      </c>
      <c r="F393" s="23" t="n">
        <f aca="false">D393-E393</f>
        <v>-478</v>
      </c>
      <c r="G393" s="24" t="n">
        <f aca="false">IF(E393&gt;0,D393/E393-1,"")</f>
        <v>-0.562352941176471</v>
      </c>
      <c r="H393" s="3" t="str">
        <f aca="false">IF(MAX(D393,E393)&lt;Parametros!$B$16,"",IF(E393=0,"PIDE SIN FCST",IF(ABS(G393)&gt;Parametros!$B$14,IF(G393&gt;0,"SOBRE FCST","BAJO FCST"),"")))</f>
        <v/>
      </c>
    </row>
    <row r="394" customFormat="false" ht="15" hidden="false" customHeight="false" outlineLevel="0" collapsed="false">
      <c r="A394" s="3" t="n">
        <v>30002098</v>
      </c>
      <c r="B394" s="3" t="s">
        <v>261</v>
      </c>
      <c r="C394" s="3" t="s">
        <v>452</v>
      </c>
      <c r="D394" s="23" t="n">
        <v>2961</v>
      </c>
      <c r="E394" s="23" t="n">
        <v>3433.97743867375</v>
      </c>
      <c r="F394" s="23" t="n">
        <f aca="false">D394-E394</f>
        <v>-472.977438673749</v>
      </c>
      <c r="G394" s="24" t="n">
        <f aca="false">IF(E394&gt;0,D394/E394-1,"")</f>
        <v>-0.13773457954238</v>
      </c>
      <c r="H394" s="3" t="str">
        <f aca="false">IF(MAX(D394,E394)&lt;Parametros!$B$16,"",IF(E394=0,"PIDE SIN FCST",IF(ABS(G394)&gt;Parametros!$B$14,IF(G394&gt;0,"SOBRE FCST","BAJO FCST"),"")))</f>
        <v/>
      </c>
    </row>
    <row r="395" customFormat="false" ht="15" hidden="false" customHeight="false" outlineLevel="0" collapsed="false">
      <c r="A395" s="3" t="n">
        <v>30002329</v>
      </c>
      <c r="B395" s="3" t="s">
        <v>206</v>
      </c>
      <c r="C395" s="3" t="s">
        <v>452</v>
      </c>
      <c r="D395" s="23" t="n">
        <v>1638</v>
      </c>
      <c r="E395" s="23" t="n">
        <v>2109.45580930223</v>
      </c>
      <c r="F395" s="23" t="n">
        <f aca="false">D395-E395</f>
        <v>-471.455809302228</v>
      </c>
      <c r="G395" s="24" t="n">
        <f aca="false">IF(E395&gt;0,D395/E395-1,"")</f>
        <v>-0.223496414204656</v>
      </c>
      <c r="H395" s="3" t="str">
        <f aca="false">IF(MAX(D395,E395)&lt;Parametros!$B$16,"",IF(E395=0,"PIDE SIN FCST",IF(ABS(G395)&gt;Parametros!$B$14,IF(G395&gt;0,"SOBRE FCST","BAJO FCST"),"")))</f>
        <v>BAJO FCST</v>
      </c>
    </row>
    <row r="396" customFormat="false" ht="15" hidden="false" customHeight="false" outlineLevel="0" collapsed="false">
      <c r="A396" s="3" t="n">
        <v>30000481</v>
      </c>
      <c r="B396" s="3" t="s">
        <v>202</v>
      </c>
      <c r="C396" s="3" t="s">
        <v>452</v>
      </c>
      <c r="D396" s="23" t="n">
        <v>3624</v>
      </c>
      <c r="E396" s="23" t="n">
        <v>4089.40928279771</v>
      </c>
      <c r="F396" s="23" t="n">
        <f aca="false">D396-E396</f>
        <v>-465.40928279771</v>
      </c>
      <c r="G396" s="24" t="n">
        <f aca="false">IF(E396&gt;0,D396/E396-1,"")</f>
        <v>-0.113808437995061</v>
      </c>
      <c r="H396" s="3" t="str">
        <f aca="false">IF(MAX(D396,E396)&lt;Parametros!$B$16,"",IF(E396=0,"PIDE SIN FCST",IF(ABS(G396)&gt;Parametros!$B$14,IF(G396&gt;0,"SOBRE FCST","BAJO FCST"),"")))</f>
        <v/>
      </c>
    </row>
    <row r="397" customFormat="false" ht="15" hidden="false" customHeight="false" outlineLevel="0" collapsed="false">
      <c r="A397" s="3" t="n">
        <v>30002272</v>
      </c>
      <c r="B397" s="3" t="s">
        <v>242</v>
      </c>
      <c r="C397" s="3" t="s">
        <v>453</v>
      </c>
      <c r="D397" s="23" t="n">
        <v>1242</v>
      </c>
      <c r="E397" s="23" t="n">
        <v>776.595407257041</v>
      </c>
      <c r="F397" s="23" t="n">
        <f aca="false">D397-E397</f>
        <v>465.404592742959</v>
      </c>
      <c r="G397" s="24" t="n">
        <f aca="false">IF(E397&gt;0,D397/E397-1,"")</f>
        <v>0.599288366109171</v>
      </c>
      <c r="H397" s="3" t="str">
        <f aca="false">IF(MAX(D397,E397)&lt;Parametros!$B$16,"",IF(E397=0,"PIDE SIN FCST",IF(ABS(G397)&gt;Parametros!$B$14,IF(G397&gt;0,"SOBRE FCST","BAJO FCST"),"")))</f>
        <v>SOBRE FCST</v>
      </c>
    </row>
    <row r="398" customFormat="false" ht="15" hidden="false" customHeight="false" outlineLevel="0" collapsed="false">
      <c r="A398" s="3" t="n">
        <v>30002274</v>
      </c>
      <c r="B398" s="3" t="s">
        <v>287</v>
      </c>
      <c r="C398" s="3" t="s">
        <v>454</v>
      </c>
      <c r="D398" s="23" t="n">
        <v>291.6</v>
      </c>
      <c r="E398" s="23" t="n">
        <v>756.446</v>
      </c>
      <c r="F398" s="23" t="n">
        <f aca="false">D398-E398</f>
        <v>-464.846</v>
      </c>
      <c r="G398" s="24" t="n">
        <f aca="false">IF(E398&gt;0,D398/E398-1,"")</f>
        <v>-0.61451313114221</v>
      </c>
      <c r="H398" s="3" t="str">
        <f aca="false">IF(MAX(D398,E398)&lt;Parametros!$B$16,"",IF(E398=0,"PIDE SIN FCST",IF(ABS(G398)&gt;Parametros!$B$14,IF(G398&gt;0,"SOBRE FCST","BAJO FCST"),"")))</f>
        <v/>
      </c>
    </row>
    <row r="399" customFormat="false" ht="15" hidden="false" customHeight="false" outlineLevel="0" collapsed="false">
      <c r="A399" s="3" t="n">
        <v>30000257</v>
      </c>
      <c r="B399" s="3" t="s">
        <v>197</v>
      </c>
      <c r="C399" s="3" t="s">
        <v>448</v>
      </c>
      <c r="D399" s="23" t="n">
        <v>24264</v>
      </c>
      <c r="E399" s="23" t="n">
        <v>23804.0637866667</v>
      </c>
      <c r="F399" s="23" t="n">
        <f aca="false">D399-E399</f>
        <v>459.936213333331</v>
      </c>
      <c r="G399" s="24" t="n">
        <f aca="false">IF(E399&gt;0,D399/E399-1,"")</f>
        <v>0.0193217518426814</v>
      </c>
      <c r="H399" s="3" t="str">
        <f aca="false">IF(MAX(D399,E399)&lt;Parametros!$B$16,"",IF(E399=0,"PIDE SIN FCST",IF(ABS(G399)&gt;Parametros!$B$14,IF(G399&gt;0,"SOBRE FCST","BAJO FCST"),"")))</f>
        <v/>
      </c>
    </row>
    <row r="400" customFormat="false" ht="15" hidden="false" customHeight="false" outlineLevel="0" collapsed="false">
      <c r="A400" s="3" t="n">
        <v>30000300</v>
      </c>
      <c r="B400" s="3" t="s">
        <v>219</v>
      </c>
      <c r="C400" s="3" t="s">
        <v>447</v>
      </c>
      <c r="D400" s="23" t="n">
        <v>4320</v>
      </c>
      <c r="E400" s="23" t="n">
        <v>3863.10179981097</v>
      </c>
      <c r="F400" s="23" t="n">
        <f aca="false">D400-E400</f>
        <v>456.898200189034</v>
      </c>
      <c r="G400" s="24" t="n">
        <f aca="false">IF(E400&gt;0,D400/E400-1,"")</f>
        <v>0.118272368647234</v>
      </c>
      <c r="H400" s="3" t="str">
        <f aca="false">IF(MAX(D400,E400)&lt;Parametros!$B$16,"",IF(E400=0,"PIDE SIN FCST",IF(ABS(G400)&gt;Parametros!$B$14,IF(G400&gt;0,"SOBRE FCST","BAJO FCST"),"")))</f>
        <v/>
      </c>
    </row>
    <row r="401" customFormat="false" ht="15" hidden="false" customHeight="false" outlineLevel="0" collapsed="false">
      <c r="A401" s="3" t="n">
        <v>30000321</v>
      </c>
      <c r="B401" s="3" t="s">
        <v>237</v>
      </c>
      <c r="C401" s="3" t="s">
        <v>453</v>
      </c>
      <c r="D401" s="23" t="n">
        <v>800</v>
      </c>
      <c r="E401" s="23" t="n">
        <v>1247.06849181637</v>
      </c>
      <c r="F401" s="23" t="n">
        <f aca="false">D401-E401</f>
        <v>-447.068491816366</v>
      </c>
      <c r="G401" s="24" t="n">
        <f aca="false">IF(E401&gt;0,D401/E401-1,"")</f>
        <v>-0.358495539539458</v>
      </c>
      <c r="H401" s="3" t="str">
        <f aca="false">IF(MAX(D401,E401)&lt;Parametros!$B$16,"",IF(E401=0,"PIDE SIN FCST",IF(ABS(G401)&gt;Parametros!$B$14,IF(G401&gt;0,"SOBRE FCST","BAJO FCST"),"")))</f>
        <v>BAJO FCST</v>
      </c>
    </row>
    <row r="402" customFormat="false" ht="15" hidden="false" customHeight="false" outlineLevel="0" collapsed="false">
      <c r="A402" s="3" t="n">
        <v>30002272</v>
      </c>
      <c r="B402" s="3" t="s">
        <v>242</v>
      </c>
      <c r="C402" s="3" t="s">
        <v>455</v>
      </c>
      <c r="D402" s="23" t="n">
        <v>11946</v>
      </c>
      <c r="E402" s="23" t="n">
        <v>11500</v>
      </c>
      <c r="F402" s="23" t="n">
        <f aca="false">D402-E402</f>
        <v>446</v>
      </c>
      <c r="G402" s="24" t="n">
        <f aca="false">IF(E402&gt;0,D402/E402-1,"")</f>
        <v>0.0387826086956522</v>
      </c>
      <c r="H402" s="3" t="str">
        <f aca="false">IF(MAX(D402,E402)&lt;Parametros!$B$16,"",IF(E402=0,"PIDE SIN FCST",IF(ABS(G402)&gt;Parametros!$B$14,IF(G402&gt;0,"SOBRE FCST","BAJO FCST"),"")))</f>
        <v/>
      </c>
    </row>
    <row r="403" customFormat="false" ht="15" hidden="false" customHeight="false" outlineLevel="0" collapsed="false">
      <c r="A403" s="3" t="n">
        <v>30001376</v>
      </c>
      <c r="B403" s="3" t="s">
        <v>254</v>
      </c>
      <c r="C403" s="3" t="s">
        <v>453</v>
      </c>
      <c r="D403" s="23" t="n">
        <v>1206</v>
      </c>
      <c r="E403" s="23" t="n">
        <v>1650</v>
      </c>
      <c r="F403" s="23" t="n">
        <f aca="false">D403-E403</f>
        <v>-444</v>
      </c>
      <c r="G403" s="24" t="n">
        <f aca="false">IF(E403&gt;0,D403/E403-1,"")</f>
        <v>-0.269090909090909</v>
      </c>
      <c r="H403" s="3" t="str">
        <f aca="false">IF(MAX(D403,E403)&lt;Parametros!$B$16,"",IF(E403=0,"PIDE SIN FCST",IF(ABS(G403)&gt;Parametros!$B$14,IF(G403&gt;0,"SOBRE FCST","BAJO FCST"),"")))</f>
        <v>BAJO FCST</v>
      </c>
    </row>
    <row r="404" customFormat="false" ht="15" hidden="false" customHeight="false" outlineLevel="0" collapsed="false">
      <c r="A404" s="3" t="n">
        <v>30001980</v>
      </c>
      <c r="B404" s="3" t="s">
        <v>247</v>
      </c>
      <c r="C404" s="3" t="s">
        <v>448</v>
      </c>
      <c r="D404" s="23" t="n">
        <v>1818</v>
      </c>
      <c r="E404" s="23" t="n">
        <v>2257.64583333333</v>
      </c>
      <c r="F404" s="23" t="n">
        <f aca="false">D404-E404</f>
        <v>-439.645833333333</v>
      </c>
      <c r="G404" s="24" t="n">
        <f aca="false">IF(E404&gt;0,D404/E404-1,"")</f>
        <v>-0.19473640499414</v>
      </c>
      <c r="H404" s="3" t="str">
        <f aca="false">IF(MAX(D404,E404)&lt;Parametros!$B$16,"",IF(E404=0,"PIDE SIN FCST",IF(ABS(G404)&gt;Parametros!$B$14,IF(G404&gt;0,"SOBRE FCST","BAJO FCST"),"")))</f>
        <v/>
      </c>
    </row>
    <row r="405" customFormat="false" ht="15" hidden="false" customHeight="false" outlineLevel="0" collapsed="false">
      <c r="A405" s="3" t="n">
        <v>30002329</v>
      </c>
      <c r="B405" s="3" t="s">
        <v>206</v>
      </c>
      <c r="C405" s="3" t="s">
        <v>454</v>
      </c>
      <c r="D405" s="23" t="n">
        <v>1464</v>
      </c>
      <c r="E405" s="23" t="n">
        <v>1900</v>
      </c>
      <c r="F405" s="23" t="n">
        <f aca="false">D405-E405</f>
        <v>-436</v>
      </c>
      <c r="G405" s="24" t="n">
        <f aca="false">IF(E405&gt;0,D405/E405-1,"")</f>
        <v>-0.229473684210526</v>
      </c>
      <c r="H405" s="3" t="str">
        <f aca="false">IF(MAX(D405,E405)&lt;Parametros!$B$16,"",IF(E405=0,"PIDE SIN FCST",IF(ABS(G405)&gt;Parametros!$B$14,IF(G405&gt;0,"SOBRE FCST","BAJO FCST"),"")))</f>
        <v>BAJO FCST</v>
      </c>
    </row>
    <row r="406" customFormat="false" ht="15" hidden="false" customHeight="false" outlineLevel="0" collapsed="false">
      <c r="A406" s="3" t="n">
        <v>30001405</v>
      </c>
      <c r="B406" s="3" t="s">
        <v>246</v>
      </c>
      <c r="C406" s="3" t="s">
        <v>448</v>
      </c>
      <c r="D406" s="23" t="n">
        <v>2988</v>
      </c>
      <c r="E406" s="23" t="n">
        <v>3419.04041666667</v>
      </c>
      <c r="F406" s="23" t="n">
        <f aca="false">D406-E406</f>
        <v>-431.040416666666</v>
      </c>
      <c r="G406" s="24" t="n">
        <f aca="false">IF(E406&gt;0,D406/E406-1,"")</f>
        <v>-0.126070582425844</v>
      </c>
      <c r="H406" s="3" t="str">
        <f aca="false">IF(MAX(D406,E406)&lt;Parametros!$B$16,"",IF(E406=0,"PIDE SIN FCST",IF(ABS(G406)&gt;Parametros!$B$14,IF(G406&gt;0,"SOBRE FCST","BAJO FCST"),"")))</f>
        <v/>
      </c>
    </row>
    <row r="407" customFormat="false" ht="15" hidden="false" customHeight="false" outlineLevel="0" collapsed="false">
      <c r="A407" s="3" t="n">
        <v>30001882</v>
      </c>
      <c r="B407" s="3" t="s">
        <v>243</v>
      </c>
      <c r="C407" s="3" t="s">
        <v>454</v>
      </c>
      <c r="D407" s="23" t="n">
        <v>2016</v>
      </c>
      <c r="E407" s="23" t="n">
        <v>1590.72</v>
      </c>
      <c r="F407" s="23" t="n">
        <f aca="false">D407-E407</f>
        <v>425.28</v>
      </c>
      <c r="G407" s="24" t="n">
        <f aca="false">IF(E407&gt;0,D407/E407-1,"")</f>
        <v>0.267350633675317</v>
      </c>
      <c r="H407" s="3" t="str">
        <f aca="false">IF(MAX(D407,E407)&lt;Parametros!$B$16,"",IF(E407=0,"PIDE SIN FCST",IF(ABS(G407)&gt;Parametros!$B$14,IF(G407&gt;0,"SOBRE FCST","BAJO FCST"),"")))</f>
        <v>SOBRE FCST</v>
      </c>
    </row>
    <row r="408" customFormat="false" ht="15" hidden="false" customHeight="false" outlineLevel="0" collapsed="false">
      <c r="A408" s="3" t="n">
        <v>30000516</v>
      </c>
      <c r="B408" s="3" t="s">
        <v>216</v>
      </c>
      <c r="C408" s="3" t="s">
        <v>453</v>
      </c>
      <c r="D408" s="23" t="n">
        <v>2868</v>
      </c>
      <c r="E408" s="23" t="n">
        <v>2444.78</v>
      </c>
      <c r="F408" s="23" t="n">
        <f aca="false">D408-E408</f>
        <v>423.22</v>
      </c>
      <c r="G408" s="24" t="n">
        <f aca="false">IF(E408&gt;0,D408/E408-1,"")</f>
        <v>0.173111691031504</v>
      </c>
      <c r="H408" s="3" t="str">
        <f aca="false">IF(MAX(D408,E408)&lt;Parametros!$B$16,"",IF(E408=0,"PIDE SIN FCST",IF(ABS(G408)&gt;Parametros!$B$14,IF(G408&gt;0,"SOBRE FCST","BAJO FCST"),"")))</f>
        <v/>
      </c>
    </row>
    <row r="409" customFormat="false" ht="15" hidden="false" customHeight="false" outlineLevel="0" collapsed="false">
      <c r="A409" s="3" t="n">
        <v>30000321</v>
      </c>
      <c r="B409" s="3" t="s">
        <v>237</v>
      </c>
      <c r="C409" s="3" t="s">
        <v>454</v>
      </c>
      <c r="D409" s="23" t="n">
        <v>2720</v>
      </c>
      <c r="E409" s="23" t="n">
        <v>2300</v>
      </c>
      <c r="F409" s="23" t="n">
        <f aca="false">D409-E409</f>
        <v>420</v>
      </c>
      <c r="G409" s="24" t="n">
        <f aca="false">IF(E409&gt;0,D409/E409-1,"")</f>
        <v>0.182608695652174</v>
      </c>
      <c r="H409" s="3" t="str">
        <f aca="false">IF(MAX(D409,E409)&lt;Parametros!$B$16,"",IF(E409=0,"PIDE SIN FCST",IF(ABS(G409)&gt;Parametros!$B$14,IF(G409&gt;0,"SOBRE FCST","BAJO FCST"),"")))</f>
        <v/>
      </c>
    </row>
    <row r="410" customFormat="false" ht="15" hidden="false" customHeight="false" outlineLevel="0" collapsed="false">
      <c r="A410" s="3" t="n">
        <v>30001923</v>
      </c>
      <c r="B410" s="3" t="s">
        <v>236</v>
      </c>
      <c r="C410" s="3" t="s">
        <v>450</v>
      </c>
      <c r="D410" s="23" t="n">
        <v>7182</v>
      </c>
      <c r="E410" s="23" t="n">
        <v>7600</v>
      </c>
      <c r="F410" s="23" t="n">
        <f aca="false">D410-E410</f>
        <v>-418</v>
      </c>
      <c r="G410" s="24" t="n">
        <f aca="false">IF(E410&gt;0,D410/E410-1,"")</f>
        <v>-0.0550000000000001</v>
      </c>
      <c r="H410" s="3" t="str">
        <f aca="false">IF(MAX(D410,E410)&lt;Parametros!$B$16,"",IF(E410=0,"PIDE SIN FCST",IF(ABS(G410)&gt;Parametros!$B$14,IF(G410&gt;0,"SOBRE FCST","BAJO FCST"),"")))</f>
        <v/>
      </c>
    </row>
    <row r="411" customFormat="false" ht="15" hidden="false" customHeight="false" outlineLevel="0" collapsed="false">
      <c r="A411" s="3" t="n">
        <v>30000307</v>
      </c>
      <c r="B411" s="3" t="s">
        <v>256</v>
      </c>
      <c r="C411" s="3" t="s">
        <v>452</v>
      </c>
      <c r="D411" s="23" t="n">
        <v>1134</v>
      </c>
      <c r="E411" s="23" t="n">
        <v>1540.74382196371</v>
      </c>
      <c r="F411" s="23" t="n">
        <f aca="false">D411-E411</f>
        <v>-406.743821963709</v>
      </c>
      <c r="G411" s="24" t="n">
        <f aca="false">IF(E411&gt;0,D411/E411-1,"")</f>
        <v>-0.26399185650818</v>
      </c>
      <c r="H411" s="3" t="str">
        <f aca="false">IF(MAX(D411,E411)&lt;Parametros!$B$16,"",IF(E411=0,"PIDE SIN FCST",IF(ABS(G411)&gt;Parametros!$B$14,IF(G411&gt;0,"SOBRE FCST","BAJO FCST"),"")))</f>
        <v>BAJO FCST</v>
      </c>
    </row>
    <row r="412" customFormat="false" ht="15" hidden="false" customHeight="false" outlineLevel="0" collapsed="false">
      <c r="A412" s="3" t="n">
        <v>30001988</v>
      </c>
      <c r="B412" s="3" t="s">
        <v>293</v>
      </c>
      <c r="C412" s="3" t="s">
        <v>448</v>
      </c>
      <c r="D412" s="23" t="n">
        <v>403.65</v>
      </c>
      <c r="E412" s="23" t="n">
        <v>0</v>
      </c>
      <c r="F412" s="23" t="n">
        <f aca="false">D412-E412</f>
        <v>403.65</v>
      </c>
      <c r="G412" s="24" t="str">
        <f aca="false">IF(E412&gt;0,D412/E412-1,"")</f>
        <v/>
      </c>
      <c r="H412" s="3" t="str">
        <f aca="false">IF(MAX(D412,E412)&lt;Parametros!$B$16,"",IF(E412=0,"PIDE SIN FCST",IF(ABS(G412)&gt;Parametros!$B$14,IF(G412&gt;0,"SOBRE FCST","BAJO FCST"),"")))</f>
        <v/>
      </c>
    </row>
    <row r="413" customFormat="false" ht="15" hidden="false" customHeight="false" outlineLevel="0" collapsed="false">
      <c r="A413" s="3" t="n">
        <v>30000383</v>
      </c>
      <c r="B413" s="3" t="s">
        <v>288</v>
      </c>
      <c r="C413" s="3" t="s">
        <v>453</v>
      </c>
      <c r="D413" s="23" t="n">
        <v>624</v>
      </c>
      <c r="E413" s="23" t="n">
        <v>1027.59732945772</v>
      </c>
      <c r="F413" s="23" t="n">
        <f aca="false">D413-E413</f>
        <v>-403.597329457717</v>
      </c>
      <c r="G413" s="24" t="n">
        <f aca="false">IF(E413&gt;0,D413/E413-1,"")</f>
        <v>-0.392758250618171</v>
      </c>
      <c r="H413" s="3" t="str">
        <f aca="false">IF(MAX(D413,E413)&lt;Parametros!$B$16,"",IF(E413=0,"PIDE SIN FCST",IF(ABS(G413)&gt;Parametros!$B$14,IF(G413&gt;0,"SOBRE FCST","BAJO FCST"),"")))</f>
        <v>BAJO FCST</v>
      </c>
    </row>
    <row r="414" customFormat="false" ht="15" hidden="false" customHeight="false" outlineLevel="0" collapsed="false">
      <c r="A414" s="3" t="n">
        <v>30001776</v>
      </c>
      <c r="B414" s="3" t="s">
        <v>294</v>
      </c>
      <c r="C414" s="3" t="s">
        <v>453</v>
      </c>
      <c r="D414" s="23" t="n">
        <v>324</v>
      </c>
      <c r="E414" s="23" t="n">
        <v>727.243698290053</v>
      </c>
      <c r="F414" s="23" t="n">
        <f aca="false">D414-E414</f>
        <v>-403.243698290053</v>
      </c>
      <c r="G414" s="24" t="n">
        <f aca="false">IF(E414&gt;0,D414/E414-1,"")</f>
        <v>-0.554482217224004</v>
      </c>
      <c r="H414" s="3" t="str">
        <f aca="false">IF(MAX(D414,E414)&lt;Parametros!$B$16,"",IF(E414=0,"PIDE SIN FCST",IF(ABS(G414)&gt;Parametros!$B$14,IF(G414&gt;0,"SOBRE FCST","BAJO FCST"),"")))</f>
        <v/>
      </c>
    </row>
    <row r="415" customFormat="false" ht="15" hidden="false" customHeight="false" outlineLevel="0" collapsed="false">
      <c r="A415" s="3" t="n">
        <v>30002125</v>
      </c>
      <c r="B415" s="3" t="s">
        <v>262</v>
      </c>
      <c r="C415" s="3" t="s">
        <v>448</v>
      </c>
      <c r="D415" s="23" t="n">
        <v>957.6</v>
      </c>
      <c r="E415" s="23" t="n">
        <v>1360.16</v>
      </c>
      <c r="F415" s="23" t="n">
        <f aca="false">D415-E415</f>
        <v>-402.56</v>
      </c>
      <c r="G415" s="24" t="n">
        <f aca="false">IF(E415&gt;0,D415/E415-1,"")</f>
        <v>-0.295965180566992</v>
      </c>
      <c r="H415" s="3" t="str">
        <f aca="false">IF(MAX(D415,E415)&lt;Parametros!$B$16,"",IF(E415=0,"PIDE SIN FCST",IF(ABS(G415)&gt;Parametros!$B$14,IF(G415&gt;0,"SOBRE FCST","BAJO FCST"),"")))</f>
        <v>BAJO FCST</v>
      </c>
    </row>
    <row r="416" customFormat="false" ht="15" hidden="false" customHeight="false" outlineLevel="0" collapsed="false">
      <c r="A416" s="3" t="n">
        <v>30002065</v>
      </c>
      <c r="B416" s="3" t="s">
        <v>225</v>
      </c>
      <c r="C416" s="3" t="s">
        <v>447</v>
      </c>
      <c r="D416" s="23" t="n">
        <v>1008</v>
      </c>
      <c r="E416" s="23" t="n">
        <v>620.62196193265</v>
      </c>
      <c r="F416" s="23" t="n">
        <f aca="false">D416-E416</f>
        <v>387.37803806735</v>
      </c>
      <c r="G416" s="24" t="n">
        <f aca="false">IF(E416&gt;0,D416/E416-1,"")</f>
        <v>0.624177134919676</v>
      </c>
      <c r="H416" s="3" t="str">
        <f aca="false">IF(MAX(D416,E416)&lt;Parametros!$B$16,"",IF(E416=0,"PIDE SIN FCST",IF(ABS(G416)&gt;Parametros!$B$14,IF(G416&gt;0,"SOBRE FCST","BAJO FCST"),"")))</f>
        <v>SOBRE FCST</v>
      </c>
    </row>
    <row r="417" customFormat="false" ht="15" hidden="false" customHeight="false" outlineLevel="0" collapsed="false">
      <c r="A417" s="3" t="n">
        <v>30002292</v>
      </c>
      <c r="B417" s="3" t="s">
        <v>265</v>
      </c>
      <c r="C417" s="3" t="s">
        <v>448</v>
      </c>
      <c r="D417" s="23" t="n">
        <v>636</v>
      </c>
      <c r="E417" s="23" t="n">
        <v>1022.59166666667</v>
      </c>
      <c r="F417" s="23" t="n">
        <f aca="false">D417-E417</f>
        <v>-386.591666666667</v>
      </c>
      <c r="G417" s="24" t="n">
        <f aca="false">IF(E417&gt;0,D417/E417-1,"")</f>
        <v>-0.378050867485393</v>
      </c>
      <c r="H417" s="3" t="str">
        <f aca="false">IF(MAX(D417,E417)&lt;Parametros!$B$16,"",IF(E417=0,"PIDE SIN FCST",IF(ABS(G417)&gt;Parametros!$B$14,IF(G417&gt;0,"SOBRE FCST","BAJO FCST"),"")))</f>
        <v>BAJO FCST</v>
      </c>
    </row>
    <row r="418" customFormat="false" ht="15" hidden="false" customHeight="false" outlineLevel="0" collapsed="false">
      <c r="A418" s="3" t="n">
        <v>30001980</v>
      </c>
      <c r="B418" s="3" t="s">
        <v>247</v>
      </c>
      <c r="C418" s="3" t="s">
        <v>450</v>
      </c>
      <c r="D418" s="23" t="n">
        <v>5314.5</v>
      </c>
      <c r="E418" s="23" t="n">
        <v>5700</v>
      </c>
      <c r="F418" s="23" t="n">
        <f aca="false">D418-E418</f>
        <v>-385.5</v>
      </c>
      <c r="G418" s="24" t="n">
        <f aca="false">IF(E418&gt;0,D418/E418-1,"")</f>
        <v>-0.0676315789473684</v>
      </c>
      <c r="H418" s="3" t="str">
        <f aca="false">IF(MAX(D418,E418)&lt;Parametros!$B$16,"",IF(E418=0,"PIDE SIN FCST",IF(ABS(G418)&gt;Parametros!$B$14,IF(G418&gt;0,"SOBRE FCST","BAJO FCST"),"")))</f>
        <v/>
      </c>
    </row>
    <row r="419" customFormat="false" ht="15" hidden="false" customHeight="false" outlineLevel="0" collapsed="false">
      <c r="A419" s="3" t="n">
        <v>30000321</v>
      </c>
      <c r="B419" s="3" t="s">
        <v>237</v>
      </c>
      <c r="C419" s="3" t="s">
        <v>452</v>
      </c>
      <c r="D419" s="23" t="n">
        <v>1504</v>
      </c>
      <c r="E419" s="23" t="n">
        <v>1120.24228604442</v>
      </c>
      <c r="F419" s="23" t="n">
        <f aca="false">D419-E419</f>
        <v>383.757713955585</v>
      </c>
      <c r="G419" s="24" t="n">
        <f aca="false">IF(E419&gt;0,D419/E419-1,"")</f>
        <v>0.342566709662993</v>
      </c>
      <c r="H419" s="3" t="str">
        <f aca="false">IF(MAX(D419,E419)&lt;Parametros!$B$16,"",IF(E419=0,"PIDE SIN FCST",IF(ABS(G419)&gt;Parametros!$B$14,IF(G419&gt;0,"SOBRE FCST","BAJO FCST"),"")))</f>
        <v>SOBRE FCST</v>
      </c>
    </row>
    <row r="420" customFormat="false" ht="15" hidden="false" customHeight="false" outlineLevel="0" collapsed="false">
      <c r="A420" s="3" t="n">
        <v>30001924</v>
      </c>
      <c r="B420" s="3" t="s">
        <v>284</v>
      </c>
      <c r="C420" s="3" t="s">
        <v>453</v>
      </c>
      <c r="D420" s="23" t="n">
        <v>396</v>
      </c>
      <c r="E420" s="23" t="n">
        <v>766.635053110774</v>
      </c>
      <c r="F420" s="23" t="n">
        <f aca="false">D420-E420</f>
        <v>-370.635053110774</v>
      </c>
      <c r="G420" s="24" t="n">
        <f aca="false">IF(E420&gt;0,D420/E420-1,"")</f>
        <v>-0.483456961179702</v>
      </c>
      <c r="H420" s="3" t="str">
        <f aca="false">IF(MAX(D420,E420)&lt;Parametros!$B$16,"",IF(E420=0,"PIDE SIN FCST",IF(ABS(G420)&gt;Parametros!$B$14,IF(G420&gt;0,"SOBRE FCST","BAJO FCST"),"")))</f>
        <v/>
      </c>
    </row>
    <row r="421" customFormat="false" ht="15" hidden="false" customHeight="false" outlineLevel="0" collapsed="false">
      <c r="A421" s="3" t="n">
        <v>30000010</v>
      </c>
      <c r="B421" s="3" t="s">
        <v>232</v>
      </c>
      <c r="C421" s="3" t="s">
        <v>453</v>
      </c>
      <c r="D421" s="23" t="n">
        <v>1140</v>
      </c>
      <c r="E421" s="23" t="n">
        <v>1506.35553038547</v>
      </c>
      <c r="F421" s="23" t="n">
        <f aca="false">D421-E421</f>
        <v>-366.355530385471</v>
      </c>
      <c r="G421" s="24" t="n">
        <f aca="false">IF(E421&gt;0,D421/E421-1,"")</f>
        <v>-0.243206549181468</v>
      </c>
      <c r="H421" s="3" t="str">
        <f aca="false">IF(MAX(D421,E421)&lt;Parametros!$B$16,"",IF(E421=0,"PIDE SIN FCST",IF(ABS(G421)&gt;Parametros!$B$14,IF(G421&gt;0,"SOBRE FCST","BAJO FCST"),"")))</f>
        <v>BAJO FCST</v>
      </c>
    </row>
    <row r="422" customFormat="false" ht="15" hidden="false" customHeight="false" outlineLevel="0" collapsed="false">
      <c r="A422" s="3" t="n">
        <v>30002177</v>
      </c>
      <c r="B422" s="3" t="s">
        <v>217</v>
      </c>
      <c r="C422" s="3" t="s">
        <v>452</v>
      </c>
      <c r="D422" s="23" t="n">
        <v>19623.6</v>
      </c>
      <c r="E422" s="23" t="n">
        <v>19989.6613508035</v>
      </c>
      <c r="F422" s="23" t="n">
        <f aca="false">D422-E422</f>
        <v>-366.061350803462</v>
      </c>
      <c r="G422" s="24" t="n">
        <f aca="false">IF(E422&gt;0,D422/E422-1,"")</f>
        <v>-0.0183125338833591</v>
      </c>
      <c r="H422" s="3" t="str">
        <f aca="false">IF(MAX(D422,E422)&lt;Parametros!$B$16,"",IF(E422=0,"PIDE SIN FCST",IF(ABS(G422)&gt;Parametros!$B$14,IF(G422&gt;0,"SOBRE FCST","BAJO FCST"),"")))</f>
        <v/>
      </c>
    </row>
    <row r="423" customFormat="false" ht="15" hidden="false" customHeight="false" outlineLevel="0" collapsed="false">
      <c r="A423" s="3" t="n">
        <v>30000318</v>
      </c>
      <c r="B423" s="3" t="s">
        <v>224</v>
      </c>
      <c r="C423" s="3" t="s">
        <v>455</v>
      </c>
      <c r="D423" s="23" t="n">
        <v>12096</v>
      </c>
      <c r="E423" s="23" t="n">
        <v>11734.2</v>
      </c>
      <c r="F423" s="23" t="n">
        <f aca="false">D423-E423</f>
        <v>361.799999999999</v>
      </c>
      <c r="G423" s="24" t="n">
        <f aca="false">IF(E423&gt;0,D423/E423-1,"")</f>
        <v>0.0308329498389324</v>
      </c>
      <c r="H423" s="3" t="str">
        <f aca="false">IF(MAX(D423,E423)&lt;Parametros!$B$16,"",IF(E423=0,"PIDE SIN FCST",IF(ABS(G423)&gt;Parametros!$B$14,IF(G423&gt;0,"SOBRE FCST","BAJO FCST"),"")))</f>
        <v/>
      </c>
    </row>
    <row r="424" customFormat="false" ht="15" hidden="false" customHeight="false" outlineLevel="0" collapsed="false">
      <c r="A424" s="3" t="n">
        <v>30000321</v>
      </c>
      <c r="B424" s="3" t="s">
        <v>237</v>
      </c>
      <c r="C424" s="3" t="s">
        <v>448</v>
      </c>
      <c r="D424" s="23" t="n">
        <v>2152</v>
      </c>
      <c r="E424" s="23" t="n">
        <v>1796.7</v>
      </c>
      <c r="F424" s="23" t="n">
        <f aca="false">D424-E424</f>
        <v>355.3</v>
      </c>
      <c r="G424" s="24" t="n">
        <f aca="false">IF(E424&gt;0,D424/E424-1,"")</f>
        <v>0.197751433183058</v>
      </c>
      <c r="H424" s="3" t="str">
        <f aca="false">IF(MAX(D424,E424)&lt;Parametros!$B$16,"",IF(E424=0,"PIDE SIN FCST",IF(ABS(G424)&gt;Parametros!$B$14,IF(G424&gt;0,"SOBRE FCST","BAJO FCST"),"")))</f>
        <v/>
      </c>
    </row>
    <row r="425" customFormat="false" ht="15" hidden="false" customHeight="false" outlineLevel="0" collapsed="false">
      <c r="A425" s="3" t="n">
        <v>30001410</v>
      </c>
      <c r="B425" s="3" t="s">
        <v>229</v>
      </c>
      <c r="C425" s="3" t="s">
        <v>448</v>
      </c>
      <c r="D425" s="23" t="n">
        <v>3024</v>
      </c>
      <c r="E425" s="23" t="n">
        <v>3375.96</v>
      </c>
      <c r="F425" s="23" t="n">
        <f aca="false">D425-E425</f>
        <v>-351.960000000001</v>
      </c>
      <c r="G425" s="24" t="n">
        <f aca="false">IF(E425&gt;0,D425/E425-1,"")</f>
        <v>-0.104254789748694</v>
      </c>
      <c r="H425" s="3" t="str">
        <f aca="false">IF(MAX(D425,E425)&lt;Parametros!$B$16,"",IF(E425=0,"PIDE SIN FCST",IF(ABS(G425)&gt;Parametros!$B$14,IF(G425&gt;0,"SOBRE FCST","BAJO FCST"),"")))</f>
        <v/>
      </c>
    </row>
    <row r="426" customFormat="false" ht="15" hidden="false" customHeight="false" outlineLevel="0" collapsed="false">
      <c r="A426" s="3" t="n">
        <v>30001895</v>
      </c>
      <c r="B426" s="3" t="s">
        <v>234</v>
      </c>
      <c r="C426" s="3" t="s">
        <v>447</v>
      </c>
      <c r="D426" s="23" t="n">
        <v>2295.2</v>
      </c>
      <c r="E426" s="23" t="n">
        <v>1944.24373119358</v>
      </c>
      <c r="F426" s="23" t="n">
        <f aca="false">D426-E426</f>
        <v>350.956268806419</v>
      </c>
      <c r="G426" s="24" t="n">
        <f aca="false">IF(E426&gt;0,D426/E426-1,"")</f>
        <v>0.180510428386962</v>
      </c>
      <c r="H426" s="3" t="str">
        <f aca="false">IF(MAX(D426,E426)&lt;Parametros!$B$16,"",IF(E426=0,"PIDE SIN FCST",IF(ABS(G426)&gt;Parametros!$B$14,IF(G426&gt;0,"SOBRE FCST","BAJO FCST"),"")))</f>
        <v/>
      </c>
    </row>
    <row r="427" customFormat="false" ht="15" hidden="false" customHeight="false" outlineLevel="0" collapsed="false">
      <c r="A427" s="3" t="n">
        <v>30002284</v>
      </c>
      <c r="B427" s="3" t="s">
        <v>298</v>
      </c>
      <c r="C427" s="3" t="s">
        <v>447</v>
      </c>
      <c r="D427" s="23" t="n">
        <v>0</v>
      </c>
      <c r="E427" s="23" t="n">
        <v>350.7</v>
      </c>
      <c r="F427" s="23" t="n">
        <f aca="false">D427-E427</f>
        <v>-350.7</v>
      </c>
      <c r="G427" s="24" t="n">
        <f aca="false">IF(E427&gt;0,D427/E427-1,"")</f>
        <v>-1</v>
      </c>
      <c r="H427" s="3" t="str">
        <f aca="false">IF(MAX(D427,E427)&lt;Parametros!$B$16,"",IF(E427=0,"PIDE SIN FCST",IF(ABS(G427)&gt;Parametros!$B$14,IF(G427&gt;0,"SOBRE FCST","BAJO FCST"),"")))</f>
        <v/>
      </c>
    </row>
    <row r="428" customFormat="false" ht="15" hidden="false" customHeight="false" outlineLevel="0" collapsed="false">
      <c r="A428" s="3" t="n">
        <v>30002262</v>
      </c>
      <c r="B428" s="3" t="s">
        <v>275</v>
      </c>
      <c r="C428" s="3" t="s">
        <v>450</v>
      </c>
      <c r="D428" s="23" t="n">
        <v>2808.3</v>
      </c>
      <c r="E428" s="23" t="n">
        <v>3150</v>
      </c>
      <c r="F428" s="23" t="n">
        <f aca="false">D428-E428</f>
        <v>-341.7</v>
      </c>
      <c r="G428" s="24" t="n">
        <f aca="false">IF(E428&gt;0,D428/E428-1,"")</f>
        <v>-0.10847619047619</v>
      </c>
      <c r="H428" s="3" t="str">
        <f aca="false">IF(MAX(D428,E428)&lt;Parametros!$B$16,"",IF(E428=0,"PIDE SIN FCST",IF(ABS(G428)&gt;Parametros!$B$14,IF(G428&gt;0,"SOBRE FCST","BAJO FCST"),"")))</f>
        <v/>
      </c>
    </row>
    <row r="429" customFormat="false" ht="15" hidden="false" customHeight="false" outlineLevel="0" collapsed="false">
      <c r="A429" s="3" t="n">
        <v>30002077</v>
      </c>
      <c r="B429" s="3" t="s">
        <v>240</v>
      </c>
      <c r="C429" s="3" t="s">
        <v>447</v>
      </c>
      <c r="D429" s="23" t="n">
        <v>1152</v>
      </c>
      <c r="E429" s="23" t="n">
        <v>813.959857389801</v>
      </c>
      <c r="F429" s="23" t="n">
        <f aca="false">D429-E429</f>
        <v>338.040142610199</v>
      </c>
      <c r="G429" s="24" t="n">
        <f aca="false">IF(E429&gt;0,D429/E429-1,"")</f>
        <v>0.415303211259364</v>
      </c>
      <c r="H429" s="3" t="str">
        <f aca="false">IF(MAX(D429,E429)&lt;Parametros!$B$16,"",IF(E429=0,"PIDE SIN FCST",IF(ABS(G429)&gt;Parametros!$B$14,IF(G429&gt;0,"SOBRE FCST","BAJO FCST"),"")))</f>
        <v>SOBRE FCST</v>
      </c>
    </row>
    <row r="430" customFormat="false" ht="15" hidden="false" customHeight="false" outlineLevel="0" collapsed="false">
      <c r="A430" s="3" t="n">
        <v>30001404</v>
      </c>
      <c r="B430" s="3" t="s">
        <v>223</v>
      </c>
      <c r="C430" s="3" t="s">
        <v>453</v>
      </c>
      <c r="D430" s="23" t="n">
        <v>1035</v>
      </c>
      <c r="E430" s="23" t="n">
        <v>700.034277878823</v>
      </c>
      <c r="F430" s="23" t="n">
        <f aca="false">D430-E430</f>
        <v>334.965722121177</v>
      </c>
      <c r="G430" s="24" t="n">
        <f aca="false">IF(E430&gt;0,D430/E430-1,"")</f>
        <v>0.478499028842072</v>
      </c>
      <c r="H430" s="3" t="str">
        <f aca="false">IF(MAX(D430,E430)&lt;Parametros!$B$16,"",IF(E430=0,"PIDE SIN FCST",IF(ABS(G430)&gt;Parametros!$B$14,IF(G430&gt;0,"SOBRE FCST","BAJO FCST"),"")))</f>
        <v>SOBRE FCST</v>
      </c>
    </row>
    <row r="431" customFormat="false" ht="15" hidden="false" customHeight="false" outlineLevel="0" collapsed="false">
      <c r="A431" s="3" t="n">
        <v>30001574</v>
      </c>
      <c r="B431" s="3" t="s">
        <v>239</v>
      </c>
      <c r="C431" s="3" t="s">
        <v>448</v>
      </c>
      <c r="D431" s="23" t="n">
        <v>4416</v>
      </c>
      <c r="E431" s="23" t="n">
        <v>4745.16666666667</v>
      </c>
      <c r="F431" s="23" t="n">
        <f aca="false">D431-E431</f>
        <v>-329.166666666667</v>
      </c>
      <c r="G431" s="24" t="n">
        <f aca="false">IF(E431&gt;0,D431/E431-1,"")</f>
        <v>-0.0693688314425205</v>
      </c>
      <c r="H431" s="3" t="str">
        <f aca="false">IF(MAX(D431,E431)&lt;Parametros!$B$16,"",IF(E431=0,"PIDE SIN FCST",IF(ABS(G431)&gt;Parametros!$B$14,IF(G431&gt;0,"SOBRE FCST","BAJO FCST"),"")))</f>
        <v/>
      </c>
    </row>
    <row r="432" customFormat="false" ht="15" hidden="false" customHeight="false" outlineLevel="0" collapsed="false">
      <c r="A432" s="3" t="n">
        <v>30002330</v>
      </c>
      <c r="B432" s="3" t="s">
        <v>215</v>
      </c>
      <c r="C432" s="3" t="s">
        <v>452</v>
      </c>
      <c r="D432" s="23" t="n">
        <v>1140</v>
      </c>
      <c r="E432" s="23" t="n">
        <v>812.560963093602</v>
      </c>
      <c r="F432" s="23" t="n">
        <f aca="false">D432-E432</f>
        <v>327.439036906398</v>
      </c>
      <c r="G432" s="24" t="n">
        <f aca="false">IF(E432&gt;0,D432/E432-1,"")</f>
        <v>0.402971656009371</v>
      </c>
      <c r="H432" s="3" t="str">
        <f aca="false">IF(MAX(D432,E432)&lt;Parametros!$B$16,"",IF(E432=0,"PIDE SIN FCST",IF(ABS(G432)&gt;Parametros!$B$14,IF(G432&gt;0,"SOBRE FCST","BAJO FCST"),"")))</f>
        <v>SOBRE FCST</v>
      </c>
    </row>
    <row r="433" customFormat="false" ht="15" hidden="false" customHeight="false" outlineLevel="0" collapsed="false">
      <c r="A433" s="3" t="n">
        <v>30002177</v>
      </c>
      <c r="B433" s="3" t="s">
        <v>217</v>
      </c>
      <c r="C433" s="3" t="s">
        <v>455</v>
      </c>
      <c r="D433" s="23" t="n">
        <v>12226.8</v>
      </c>
      <c r="E433" s="23" t="n">
        <v>11900</v>
      </c>
      <c r="F433" s="23" t="n">
        <f aca="false">D433-E433</f>
        <v>326.799999999999</v>
      </c>
      <c r="G433" s="24" t="n">
        <f aca="false">IF(E433&gt;0,D433/E433-1,"")</f>
        <v>0.0274621848739496</v>
      </c>
      <c r="H433" s="3" t="str">
        <f aca="false">IF(MAX(D433,E433)&lt;Parametros!$B$16,"",IF(E433=0,"PIDE SIN FCST",IF(ABS(G433)&gt;Parametros!$B$14,IF(G433&gt;0,"SOBRE FCST","BAJO FCST"),"")))</f>
        <v/>
      </c>
    </row>
    <row r="434" customFormat="false" ht="15" hidden="false" customHeight="false" outlineLevel="0" collapsed="false">
      <c r="A434" s="3" t="n">
        <v>30000354</v>
      </c>
      <c r="B434" s="3" t="s">
        <v>244</v>
      </c>
      <c r="C434" s="3" t="s">
        <v>452</v>
      </c>
      <c r="D434" s="23" t="n">
        <v>1038</v>
      </c>
      <c r="E434" s="23" t="n">
        <v>1362.92069120242</v>
      </c>
      <c r="F434" s="23" t="n">
        <f aca="false">D434-E434</f>
        <v>-324.920691202421</v>
      </c>
      <c r="G434" s="24" t="n">
        <f aca="false">IF(E434&gt;0,D434/E434-1,"")</f>
        <v>-0.238400292327915</v>
      </c>
      <c r="H434" s="3" t="str">
        <f aca="false">IF(MAX(D434,E434)&lt;Parametros!$B$16,"",IF(E434=0,"PIDE SIN FCST",IF(ABS(G434)&gt;Parametros!$B$14,IF(G434&gt;0,"SOBRE FCST","BAJO FCST"),"")))</f>
        <v>BAJO FCST</v>
      </c>
    </row>
    <row r="435" customFormat="false" ht="15" hidden="false" customHeight="false" outlineLevel="0" collapsed="false">
      <c r="A435" s="3" t="n">
        <v>30002330</v>
      </c>
      <c r="B435" s="3" t="s">
        <v>215</v>
      </c>
      <c r="C435" s="3" t="s">
        <v>447</v>
      </c>
      <c r="D435" s="23" t="n">
        <v>1152</v>
      </c>
      <c r="E435" s="23" t="n">
        <v>827.3</v>
      </c>
      <c r="F435" s="23" t="n">
        <f aca="false">D435-E435</f>
        <v>324.7</v>
      </c>
      <c r="G435" s="24" t="n">
        <f aca="false">IF(E435&gt;0,D435/E435-1,"")</f>
        <v>0.392481566541762</v>
      </c>
      <c r="H435" s="3" t="str">
        <f aca="false">IF(MAX(D435,E435)&lt;Parametros!$B$16,"",IF(E435=0,"PIDE SIN FCST",IF(ABS(G435)&gt;Parametros!$B$14,IF(G435&gt;0,"SOBRE FCST","BAJO FCST"),"")))</f>
        <v>SOBRE FCST</v>
      </c>
    </row>
    <row r="436" customFormat="false" ht="15" hidden="false" customHeight="false" outlineLevel="0" collapsed="false">
      <c r="A436" s="3" t="n">
        <v>30002177</v>
      </c>
      <c r="B436" s="3" t="s">
        <v>217</v>
      </c>
      <c r="C436" s="3" t="s">
        <v>453</v>
      </c>
      <c r="D436" s="23" t="n">
        <v>809.6</v>
      </c>
      <c r="E436" s="23" t="n">
        <v>485.976941827083</v>
      </c>
      <c r="F436" s="23" t="n">
        <f aca="false">D436-E436</f>
        <v>323.623058172917</v>
      </c>
      <c r="G436" s="24" t="n">
        <f aca="false">IF(E436&gt;0,D436/E436-1,"")</f>
        <v>0.665922660767033</v>
      </c>
      <c r="H436" s="3" t="str">
        <f aca="false">IF(MAX(D436,E436)&lt;Parametros!$B$16,"",IF(E436=0,"PIDE SIN FCST",IF(ABS(G436)&gt;Parametros!$B$14,IF(G436&gt;0,"SOBRE FCST","BAJO FCST"),"")))</f>
        <v/>
      </c>
    </row>
    <row r="437" customFormat="false" ht="15" hidden="false" customHeight="false" outlineLevel="0" collapsed="false">
      <c r="A437" s="3" t="n">
        <v>30002066</v>
      </c>
      <c r="B437" s="3" t="s">
        <v>203</v>
      </c>
      <c r="C437" s="3" t="s">
        <v>448</v>
      </c>
      <c r="D437" s="23" t="n">
        <v>2220</v>
      </c>
      <c r="E437" s="23" t="n">
        <v>2541.59916666667</v>
      </c>
      <c r="F437" s="23" t="n">
        <f aca="false">D437-E437</f>
        <v>-321.599166666666</v>
      </c>
      <c r="G437" s="24" t="n">
        <f aca="false">IF(E437&gt;0,D437/E437-1,"")</f>
        <v>-0.126534180088061</v>
      </c>
      <c r="H437" s="3" t="str">
        <f aca="false">IF(MAX(D437,E437)&lt;Parametros!$B$16,"",IF(E437=0,"PIDE SIN FCST",IF(ABS(G437)&gt;Parametros!$B$14,IF(G437&gt;0,"SOBRE FCST","BAJO FCST"),"")))</f>
        <v/>
      </c>
    </row>
    <row r="438" customFormat="false" ht="15" hidden="false" customHeight="false" outlineLevel="0" collapsed="false">
      <c r="A438" s="3" t="n">
        <v>30001149</v>
      </c>
      <c r="B438" s="3" t="s">
        <v>279</v>
      </c>
      <c r="C438" s="3" t="s">
        <v>454</v>
      </c>
      <c r="D438" s="23" t="n">
        <v>918</v>
      </c>
      <c r="E438" s="23" t="n">
        <v>600</v>
      </c>
      <c r="F438" s="23" t="n">
        <f aca="false">D438-E438</f>
        <v>318</v>
      </c>
      <c r="G438" s="24" t="n">
        <f aca="false">IF(E438&gt;0,D438/E438-1,"")</f>
        <v>0.53</v>
      </c>
      <c r="H438" s="3" t="str">
        <f aca="false">IF(MAX(D438,E438)&lt;Parametros!$B$16,"",IF(E438=0,"PIDE SIN FCST",IF(ABS(G438)&gt;Parametros!$B$14,IF(G438&gt;0,"SOBRE FCST","BAJO FCST"),"")))</f>
        <v/>
      </c>
    </row>
    <row r="439" customFormat="false" ht="15" hidden="false" customHeight="false" outlineLevel="0" collapsed="false">
      <c r="A439" s="3" t="n">
        <v>30000308</v>
      </c>
      <c r="B439" s="3" t="s">
        <v>274</v>
      </c>
      <c r="C439" s="3" t="s">
        <v>452</v>
      </c>
      <c r="D439" s="23" t="n">
        <v>996</v>
      </c>
      <c r="E439" s="23" t="n">
        <v>1311.18641141156</v>
      </c>
      <c r="F439" s="23" t="n">
        <f aca="false">D439-E439</f>
        <v>-315.186411411556</v>
      </c>
      <c r="G439" s="24" t="n">
        <f aca="false">IF(E439&gt;0,D439/E439-1,"")</f>
        <v>-0.240382609725373</v>
      </c>
      <c r="H439" s="3" t="str">
        <f aca="false">IF(MAX(D439,E439)&lt;Parametros!$B$16,"",IF(E439=0,"PIDE SIN FCST",IF(ABS(G439)&gt;Parametros!$B$14,IF(G439&gt;0,"SOBRE FCST","BAJO FCST"),"")))</f>
        <v>BAJO FCST</v>
      </c>
    </row>
    <row r="440" customFormat="false" ht="15" hidden="false" customHeight="false" outlineLevel="0" collapsed="false">
      <c r="A440" s="3" t="n">
        <v>30000245</v>
      </c>
      <c r="B440" s="3" t="s">
        <v>250</v>
      </c>
      <c r="C440" s="3" t="s">
        <v>450</v>
      </c>
      <c r="D440" s="23" t="n">
        <v>1512</v>
      </c>
      <c r="E440" s="23" t="n">
        <v>1821.4742512183</v>
      </c>
      <c r="F440" s="23" t="n">
        <f aca="false">D440-E440</f>
        <v>-309.474251218296</v>
      </c>
      <c r="G440" s="24" t="n">
        <f aca="false">IF(E440&gt;0,D440/E440-1,"")</f>
        <v>-0.16990317102276</v>
      </c>
      <c r="H440" s="3" t="str">
        <f aca="false">IF(MAX(D440,E440)&lt;Parametros!$B$16,"",IF(E440=0,"PIDE SIN FCST",IF(ABS(G440)&gt;Parametros!$B$14,IF(G440&gt;0,"SOBRE FCST","BAJO FCST"),"")))</f>
        <v/>
      </c>
    </row>
    <row r="441" customFormat="false" ht="15" hidden="false" customHeight="false" outlineLevel="0" collapsed="false">
      <c r="A441" s="3" t="n">
        <v>30000542</v>
      </c>
      <c r="B441" s="3" t="s">
        <v>296</v>
      </c>
      <c r="C441" s="3" t="s">
        <v>454</v>
      </c>
      <c r="D441" s="23" t="n">
        <v>0</v>
      </c>
      <c r="E441" s="23" t="n">
        <v>308</v>
      </c>
      <c r="F441" s="23" t="n">
        <f aca="false">D441-E441</f>
        <v>-308</v>
      </c>
      <c r="G441" s="24" t="n">
        <f aca="false">IF(E441&gt;0,D441/E441-1,"")</f>
        <v>-1</v>
      </c>
      <c r="H441" s="3" t="str">
        <f aca="false">IF(MAX(D441,E441)&lt;Parametros!$B$16,"",IF(E441=0,"PIDE SIN FCST",IF(ABS(G441)&gt;Parametros!$B$14,IF(G441&gt;0,"SOBRE FCST","BAJO FCST"),"")))</f>
        <v/>
      </c>
    </row>
    <row r="442" customFormat="false" ht="15" hidden="false" customHeight="false" outlineLevel="0" collapsed="false">
      <c r="A442" s="3" t="n">
        <v>30001923</v>
      </c>
      <c r="B442" s="3" t="s">
        <v>236</v>
      </c>
      <c r="C442" s="3" t="s">
        <v>452</v>
      </c>
      <c r="D442" s="23" t="n">
        <v>552</v>
      </c>
      <c r="E442" s="23" t="n">
        <v>858.39621830585</v>
      </c>
      <c r="F442" s="23" t="n">
        <f aca="false">D442-E442</f>
        <v>-306.39621830585</v>
      </c>
      <c r="G442" s="24" t="n">
        <f aca="false">IF(E442&gt;0,D442/E442-1,"")</f>
        <v>-0.356940317037463</v>
      </c>
      <c r="H442" s="3" t="str">
        <f aca="false">IF(MAX(D442,E442)&lt;Parametros!$B$16,"",IF(E442=0,"PIDE SIN FCST",IF(ABS(G442)&gt;Parametros!$B$14,IF(G442&gt;0,"SOBRE FCST","BAJO FCST"),"")))</f>
        <v/>
      </c>
    </row>
    <row r="443" customFormat="false" ht="15" hidden="false" customHeight="false" outlineLevel="0" collapsed="false">
      <c r="A443" s="3" t="n">
        <v>30000360</v>
      </c>
      <c r="B443" s="3" t="s">
        <v>245</v>
      </c>
      <c r="C443" s="3" t="s">
        <v>455</v>
      </c>
      <c r="D443" s="23" t="n">
        <v>3828</v>
      </c>
      <c r="E443" s="23" t="n">
        <v>3525</v>
      </c>
      <c r="F443" s="23" t="n">
        <f aca="false">D443-E443</f>
        <v>303</v>
      </c>
      <c r="G443" s="24" t="n">
        <f aca="false">IF(E443&gt;0,D443/E443-1,"")</f>
        <v>0.0859574468085107</v>
      </c>
      <c r="H443" s="3" t="str">
        <f aca="false">IF(MAX(D443,E443)&lt;Parametros!$B$16,"",IF(E443=0,"PIDE SIN FCST",IF(ABS(G443)&gt;Parametros!$B$14,IF(G443&gt;0,"SOBRE FCST","BAJO FCST"),"")))</f>
        <v/>
      </c>
    </row>
    <row r="444" customFormat="false" ht="15" hidden="false" customHeight="false" outlineLevel="0" collapsed="false">
      <c r="A444" s="3" t="n">
        <v>30002273</v>
      </c>
      <c r="B444" s="3" t="s">
        <v>273</v>
      </c>
      <c r="C444" s="3" t="s">
        <v>454</v>
      </c>
      <c r="D444" s="23" t="n">
        <v>648</v>
      </c>
      <c r="E444" s="23" t="n">
        <v>950.0926</v>
      </c>
      <c r="F444" s="23" t="n">
        <f aca="false">D444-E444</f>
        <v>-302.0926</v>
      </c>
      <c r="G444" s="24" t="n">
        <f aca="false">IF(E444&gt;0,D444/E444-1,"")</f>
        <v>-0.317961217674993</v>
      </c>
      <c r="H444" s="3" t="str">
        <f aca="false">IF(MAX(D444,E444)&lt;Parametros!$B$16,"",IF(E444=0,"PIDE SIN FCST",IF(ABS(G444)&gt;Parametros!$B$14,IF(G444&gt;0,"SOBRE FCST","BAJO FCST"),"")))</f>
        <v/>
      </c>
    </row>
    <row r="445" customFormat="false" ht="15" hidden="false" customHeight="false" outlineLevel="0" collapsed="false">
      <c r="A445" s="3" t="n">
        <v>30000516</v>
      </c>
      <c r="B445" s="3" t="s">
        <v>216</v>
      </c>
      <c r="C445" s="3" t="s">
        <v>454</v>
      </c>
      <c r="D445" s="23" t="n">
        <v>5592</v>
      </c>
      <c r="E445" s="23" t="n">
        <v>5290.68</v>
      </c>
      <c r="F445" s="23" t="n">
        <f aca="false">D445-E445</f>
        <v>301.32</v>
      </c>
      <c r="G445" s="24" t="n">
        <f aca="false">IF(E445&gt;0,D445/E445-1,"")</f>
        <v>0.0569529814693006</v>
      </c>
      <c r="H445" s="3" t="str">
        <f aca="false">IF(MAX(D445,E445)&lt;Parametros!$B$16,"",IF(E445=0,"PIDE SIN FCST",IF(ABS(G445)&gt;Parametros!$B$14,IF(G445&gt;0,"SOBRE FCST","BAJO FCST"),"")))</f>
        <v/>
      </c>
    </row>
    <row r="446" customFormat="false" ht="15" hidden="false" customHeight="false" outlineLevel="0" collapsed="false">
      <c r="A446" s="3" t="n">
        <v>30001407</v>
      </c>
      <c r="B446" s="3" t="s">
        <v>280</v>
      </c>
      <c r="C446" s="3" t="s">
        <v>448</v>
      </c>
      <c r="D446" s="23" t="n">
        <v>3532.5</v>
      </c>
      <c r="E446" s="23" t="n">
        <v>3832.86675</v>
      </c>
      <c r="F446" s="23" t="n">
        <f aca="false">D446-E446</f>
        <v>-300.36675</v>
      </c>
      <c r="G446" s="24" t="n">
        <f aca="false">IF(E446&gt;0,D446/E446-1,"")</f>
        <v>-0.0783660819933278</v>
      </c>
      <c r="H446" s="3" t="str">
        <f aca="false">IF(MAX(D446,E446)&lt;Parametros!$B$16,"",IF(E446=0,"PIDE SIN FCST",IF(ABS(G446)&gt;Parametros!$B$14,IF(G446&gt;0,"SOBRE FCST","BAJO FCST"),"")))</f>
        <v/>
      </c>
    </row>
    <row r="447" customFormat="false" ht="15" hidden="false" customHeight="false" outlineLevel="0" collapsed="false">
      <c r="A447" s="3" t="n">
        <v>30001665</v>
      </c>
      <c r="B447" s="3" t="s">
        <v>285</v>
      </c>
      <c r="C447" s="3" t="s">
        <v>450</v>
      </c>
      <c r="D447" s="23" t="n">
        <v>1200</v>
      </c>
      <c r="E447" s="23" t="n">
        <v>1500</v>
      </c>
      <c r="F447" s="23" t="n">
        <f aca="false">D447-E447</f>
        <v>-300</v>
      </c>
      <c r="G447" s="24" t="n">
        <f aca="false">IF(E447&gt;0,D447/E447-1,"")</f>
        <v>-0.2</v>
      </c>
      <c r="H447" s="3" t="str">
        <f aca="false">IF(MAX(D447,E447)&lt;Parametros!$B$16,"",IF(E447=0,"PIDE SIN FCST",IF(ABS(G447)&gt;Parametros!$B$14,IF(G447&gt;0,"SOBRE FCST","BAJO FCST"),"")))</f>
        <v/>
      </c>
    </row>
    <row r="448" customFormat="false" ht="15" hidden="false" customHeight="false" outlineLevel="0" collapsed="false">
      <c r="A448" s="3" t="n">
        <v>30001665</v>
      </c>
      <c r="B448" s="3" t="s">
        <v>285</v>
      </c>
      <c r="C448" s="3" t="s">
        <v>453</v>
      </c>
      <c r="D448" s="23" t="n">
        <v>64</v>
      </c>
      <c r="E448" s="23" t="n">
        <v>363.132896487416</v>
      </c>
      <c r="F448" s="23" t="n">
        <f aca="false">D448-E448</f>
        <v>-299.132896487416</v>
      </c>
      <c r="G448" s="24" t="n">
        <f aca="false">IF(E448&gt;0,D448/E448-1,"")</f>
        <v>-0.823755984051371</v>
      </c>
      <c r="H448" s="3" t="str">
        <f aca="false">IF(MAX(D448,E448)&lt;Parametros!$B$16,"",IF(E448=0,"PIDE SIN FCST",IF(ABS(G448)&gt;Parametros!$B$14,IF(G448&gt;0,"SOBRE FCST","BAJO FCST"),"")))</f>
        <v/>
      </c>
    </row>
    <row r="449" customFormat="false" ht="15" hidden="false" customHeight="false" outlineLevel="0" collapsed="false">
      <c r="A449" s="3" t="n">
        <v>30001409</v>
      </c>
      <c r="B449" s="3" t="s">
        <v>211</v>
      </c>
      <c r="C449" s="3" t="s">
        <v>453</v>
      </c>
      <c r="D449" s="23" t="n">
        <v>1360</v>
      </c>
      <c r="E449" s="23" t="n">
        <v>1656.08383052491</v>
      </c>
      <c r="F449" s="23" t="n">
        <f aca="false">D449-E449</f>
        <v>-296.08383052491</v>
      </c>
      <c r="G449" s="24" t="n">
        <f aca="false">IF(E449&gt;0,D449/E449-1,"")</f>
        <v>-0.178785533115835</v>
      </c>
      <c r="H449" s="3" t="str">
        <f aca="false">IF(MAX(D449,E449)&lt;Parametros!$B$16,"",IF(E449=0,"PIDE SIN FCST",IF(ABS(G449)&gt;Parametros!$B$14,IF(G449&gt;0,"SOBRE FCST","BAJO FCST"),"")))</f>
        <v/>
      </c>
    </row>
    <row r="450" customFormat="false" ht="15" hidden="false" customHeight="false" outlineLevel="0" collapsed="false">
      <c r="A450" s="3" t="n">
        <v>30002358</v>
      </c>
      <c r="B450" s="3" t="s">
        <v>271</v>
      </c>
      <c r="C450" s="3" t="s">
        <v>453</v>
      </c>
      <c r="D450" s="23" t="n">
        <v>720</v>
      </c>
      <c r="E450" s="23" t="n">
        <v>428.288129696632</v>
      </c>
      <c r="F450" s="23" t="n">
        <f aca="false">D450-E450</f>
        <v>291.711870303368</v>
      </c>
      <c r="G450" s="24" t="n">
        <f aca="false">IF(E450&gt;0,D450/E450-1,"")</f>
        <v>0.681111266170265</v>
      </c>
      <c r="H450" s="3" t="str">
        <f aca="false">IF(MAX(D450,E450)&lt;Parametros!$B$16,"",IF(E450=0,"PIDE SIN FCST",IF(ABS(G450)&gt;Parametros!$B$14,IF(G450&gt;0,"SOBRE FCST","BAJO FCST"),"")))</f>
        <v/>
      </c>
    </row>
    <row r="451" customFormat="false" ht="15" hidden="false" customHeight="false" outlineLevel="0" collapsed="false">
      <c r="A451" s="3" t="n">
        <v>30001882</v>
      </c>
      <c r="B451" s="3" t="s">
        <v>243</v>
      </c>
      <c r="C451" s="3" t="s">
        <v>448</v>
      </c>
      <c r="D451" s="23" t="n">
        <v>1842</v>
      </c>
      <c r="E451" s="23" t="n">
        <v>2132.975</v>
      </c>
      <c r="F451" s="23" t="n">
        <f aca="false">D451-E451</f>
        <v>-290.975</v>
      </c>
      <c r="G451" s="24" t="n">
        <f aca="false">IF(E451&gt;0,D451/E451-1,"")</f>
        <v>-0.136417445117735</v>
      </c>
      <c r="H451" s="3" t="str">
        <f aca="false">IF(MAX(D451,E451)&lt;Parametros!$B$16,"",IF(E451=0,"PIDE SIN FCST",IF(ABS(G451)&gt;Parametros!$B$14,IF(G451&gt;0,"SOBRE FCST","BAJO FCST"),"")))</f>
        <v/>
      </c>
    </row>
    <row r="452" customFormat="false" ht="15" hidden="false" customHeight="false" outlineLevel="0" collapsed="false">
      <c r="A452" s="3" t="n">
        <v>30000207</v>
      </c>
      <c r="B452" s="3" t="s">
        <v>222</v>
      </c>
      <c r="C452" s="3" t="s">
        <v>451</v>
      </c>
      <c r="D452" s="23" t="n">
        <v>690</v>
      </c>
      <c r="E452" s="23" t="n">
        <v>400</v>
      </c>
      <c r="F452" s="23" t="n">
        <f aca="false">D452-E452</f>
        <v>290</v>
      </c>
      <c r="G452" s="24" t="n">
        <f aca="false">IF(E452&gt;0,D452/E452-1,"")</f>
        <v>0.725</v>
      </c>
      <c r="H452" s="3" t="str">
        <f aca="false">IF(MAX(D452,E452)&lt;Parametros!$B$16,"",IF(E452=0,"PIDE SIN FCST",IF(ABS(G452)&gt;Parametros!$B$14,IF(G452&gt;0,"SOBRE FCST","BAJO FCST"),"")))</f>
        <v/>
      </c>
    </row>
    <row r="453" customFormat="false" ht="15" hidden="false" customHeight="false" outlineLevel="0" collapsed="false">
      <c r="A453" s="3" t="n">
        <v>30000206</v>
      </c>
      <c r="B453" s="3" t="s">
        <v>218</v>
      </c>
      <c r="C453" s="3" t="s">
        <v>451</v>
      </c>
      <c r="D453" s="23" t="n">
        <v>690</v>
      </c>
      <c r="E453" s="23" t="n">
        <v>400</v>
      </c>
      <c r="F453" s="23" t="n">
        <f aca="false">D453-E453</f>
        <v>290</v>
      </c>
      <c r="G453" s="24" t="n">
        <f aca="false">IF(E453&gt;0,D453/E453-1,"")</f>
        <v>0.725</v>
      </c>
      <c r="H453" s="3" t="str">
        <f aca="false">IF(MAX(D453,E453)&lt;Parametros!$B$16,"",IF(E453=0,"PIDE SIN FCST",IF(ABS(G453)&gt;Parametros!$B$14,IF(G453&gt;0,"SOBRE FCST","BAJO FCST"),"")))</f>
        <v/>
      </c>
    </row>
    <row r="454" customFormat="false" ht="15" hidden="false" customHeight="false" outlineLevel="0" collapsed="false">
      <c r="A454" s="3" t="n">
        <v>30001992</v>
      </c>
      <c r="B454" s="3" t="s">
        <v>269</v>
      </c>
      <c r="C454" s="3" t="s">
        <v>448</v>
      </c>
      <c r="D454" s="23" t="n">
        <v>408</v>
      </c>
      <c r="E454" s="23" t="n">
        <v>696.916666666667</v>
      </c>
      <c r="F454" s="23" t="n">
        <f aca="false">D454-E454</f>
        <v>-288.916666666667</v>
      </c>
      <c r="G454" s="24" t="n">
        <f aca="false">IF(E454&gt;0,D454/E454-1,"")</f>
        <v>-0.414564151620232</v>
      </c>
      <c r="H454" s="3" t="str">
        <f aca="false">IF(MAX(D454,E454)&lt;Parametros!$B$16,"",IF(E454=0,"PIDE SIN FCST",IF(ABS(G454)&gt;Parametros!$B$14,IF(G454&gt;0,"SOBRE FCST","BAJO FCST"),"")))</f>
        <v/>
      </c>
    </row>
    <row r="455" customFormat="false" ht="15" hidden="false" customHeight="false" outlineLevel="0" collapsed="false">
      <c r="A455" s="3" t="n">
        <v>30000321</v>
      </c>
      <c r="B455" s="3" t="s">
        <v>237</v>
      </c>
      <c r="C455" s="3" t="s">
        <v>451</v>
      </c>
      <c r="D455" s="23" t="n">
        <v>688</v>
      </c>
      <c r="E455" s="23" t="n">
        <v>400</v>
      </c>
      <c r="F455" s="23" t="n">
        <f aca="false">D455-E455</f>
        <v>288</v>
      </c>
      <c r="G455" s="24" t="n">
        <f aca="false">IF(E455&gt;0,D455/E455-1,"")</f>
        <v>0.72</v>
      </c>
      <c r="H455" s="3" t="str">
        <f aca="false">IF(MAX(D455,E455)&lt;Parametros!$B$16,"",IF(E455=0,"PIDE SIN FCST",IF(ABS(G455)&gt;Parametros!$B$14,IF(G455&gt;0,"SOBRE FCST","BAJO FCST"),"")))</f>
        <v/>
      </c>
    </row>
    <row r="456" customFormat="false" ht="15" hidden="false" customHeight="false" outlineLevel="0" collapsed="false">
      <c r="A456" s="3" t="n">
        <v>30001404</v>
      </c>
      <c r="B456" s="3" t="s">
        <v>223</v>
      </c>
      <c r="C456" s="3" t="s">
        <v>448</v>
      </c>
      <c r="D456" s="23" t="n">
        <v>10080</v>
      </c>
      <c r="E456" s="23" t="n">
        <v>9792.56158333333</v>
      </c>
      <c r="F456" s="23" t="n">
        <f aca="false">D456-E456</f>
        <v>287.438416666668</v>
      </c>
      <c r="G456" s="24" t="n">
        <f aca="false">IF(E456&gt;0,D456/E456-1,"")</f>
        <v>0.0293527300513361</v>
      </c>
      <c r="H456" s="3" t="str">
        <f aca="false">IF(MAX(D456,E456)&lt;Parametros!$B$16,"",IF(E456=0,"PIDE SIN FCST",IF(ABS(G456)&gt;Parametros!$B$14,IF(G456&gt;0,"SOBRE FCST","BAJO FCST"),"")))</f>
        <v/>
      </c>
    </row>
    <row r="457" customFormat="false" ht="15" hidden="false" customHeight="false" outlineLevel="0" collapsed="false">
      <c r="A457" s="3" t="n">
        <v>30002261</v>
      </c>
      <c r="B457" s="3" t="s">
        <v>282</v>
      </c>
      <c r="C457" s="3" t="s">
        <v>448</v>
      </c>
      <c r="D457" s="23" t="n">
        <v>438.15</v>
      </c>
      <c r="E457" s="23" t="n">
        <v>725.385416666667</v>
      </c>
      <c r="F457" s="23" t="n">
        <f aca="false">D457-E457</f>
        <v>-287.235416666667</v>
      </c>
      <c r="G457" s="24" t="n">
        <f aca="false">IF(E457&gt;0,D457/E457-1,"")</f>
        <v>-0.395976276979192</v>
      </c>
      <c r="H457" s="3" t="str">
        <f aca="false">IF(MAX(D457,E457)&lt;Parametros!$B$16,"",IF(E457=0,"PIDE SIN FCST",IF(ABS(G457)&gt;Parametros!$B$14,IF(G457&gt;0,"SOBRE FCST","BAJO FCST"),"")))</f>
        <v/>
      </c>
    </row>
    <row r="458" customFormat="false" ht="15" hidden="false" customHeight="false" outlineLevel="0" collapsed="false">
      <c r="A458" s="3" t="n">
        <v>30000401</v>
      </c>
      <c r="B458" s="3" t="s">
        <v>198</v>
      </c>
      <c r="C458" s="3" t="s">
        <v>448</v>
      </c>
      <c r="D458" s="23" t="n">
        <v>7212</v>
      </c>
      <c r="E458" s="23" t="n">
        <v>7498.20833333333</v>
      </c>
      <c r="F458" s="23" t="n">
        <f aca="false">D458-E458</f>
        <v>-286.208333333332</v>
      </c>
      <c r="G458" s="24" t="n">
        <f aca="false">IF(E458&gt;0,D458/E458-1,"")</f>
        <v>-0.038170229554838</v>
      </c>
      <c r="H458" s="3" t="str">
        <f aca="false">IF(MAX(D458,E458)&lt;Parametros!$B$16,"",IF(E458=0,"PIDE SIN FCST",IF(ABS(G458)&gt;Parametros!$B$14,IF(G458&gt;0,"SOBRE FCST","BAJO FCST"),"")))</f>
        <v/>
      </c>
    </row>
    <row r="459" customFormat="false" ht="15" hidden="false" customHeight="false" outlineLevel="0" collapsed="false">
      <c r="A459" s="3" t="n">
        <v>30000328</v>
      </c>
      <c r="B459" s="3" t="s">
        <v>241</v>
      </c>
      <c r="C459" s="3" t="s">
        <v>453</v>
      </c>
      <c r="D459" s="23" t="n">
        <v>2292</v>
      </c>
      <c r="E459" s="23" t="n">
        <v>2007.23452941176</v>
      </c>
      <c r="F459" s="23" t="n">
        <f aca="false">D459-E459</f>
        <v>284.765470588236</v>
      </c>
      <c r="G459" s="24" t="n">
        <f aca="false">IF(E459&gt;0,D459/E459-1,"")</f>
        <v>0.141869555557959</v>
      </c>
      <c r="H459" s="3" t="str">
        <f aca="false">IF(MAX(D459,E459)&lt;Parametros!$B$16,"",IF(E459=0,"PIDE SIN FCST",IF(ABS(G459)&gt;Parametros!$B$14,IF(G459&gt;0,"SOBRE FCST","BAJO FCST"),"")))</f>
        <v/>
      </c>
    </row>
    <row r="460" customFormat="false" ht="15" hidden="false" customHeight="false" outlineLevel="0" collapsed="false">
      <c r="A460" s="3" t="n">
        <v>30001149</v>
      </c>
      <c r="B460" s="3" t="s">
        <v>279</v>
      </c>
      <c r="C460" s="3" t="s">
        <v>453</v>
      </c>
      <c r="D460" s="23" t="n">
        <v>288</v>
      </c>
      <c r="E460" s="23" t="n">
        <v>560.933834145297</v>
      </c>
      <c r="F460" s="23" t="n">
        <f aca="false">D460-E460</f>
        <v>-272.933834145297</v>
      </c>
      <c r="G460" s="24" t="n">
        <f aca="false">IF(E460&gt;0,D460/E460-1,"")</f>
        <v>-0.486570460776663</v>
      </c>
      <c r="H460" s="3" t="str">
        <f aca="false">IF(MAX(D460,E460)&lt;Parametros!$B$16,"",IF(E460=0,"PIDE SIN FCST",IF(ABS(G460)&gt;Parametros!$B$14,IF(G460&gt;0,"SOBRE FCST","BAJO FCST"),"")))</f>
        <v/>
      </c>
    </row>
    <row r="461" customFormat="false" ht="15" hidden="false" customHeight="false" outlineLevel="0" collapsed="false">
      <c r="A461" s="3" t="n">
        <v>30002273</v>
      </c>
      <c r="B461" s="3" t="s">
        <v>273</v>
      </c>
      <c r="C461" s="3" t="s">
        <v>453</v>
      </c>
      <c r="D461" s="23" t="n">
        <v>201.6</v>
      </c>
      <c r="E461" s="23" t="n">
        <v>472.8</v>
      </c>
      <c r="F461" s="23" t="n">
        <f aca="false">D461-E461</f>
        <v>-271.2</v>
      </c>
      <c r="G461" s="24" t="n">
        <f aca="false">IF(E461&gt;0,D461/E461-1,"")</f>
        <v>-0.573604060913706</v>
      </c>
      <c r="H461" s="3" t="str">
        <f aca="false">IF(MAX(D461,E461)&lt;Parametros!$B$16,"",IF(E461=0,"PIDE SIN FCST",IF(ABS(G461)&gt;Parametros!$B$14,IF(G461&gt;0,"SOBRE FCST","BAJO FCST"),"")))</f>
        <v/>
      </c>
    </row>
    <row r="462" customFormat="false" ht="15" hidden="false" customHeight="false" outlineLevel="0" collapsed="false">
      <c r="A462" s="3" t="n">
        <v>30001895</v>
      </c>
      <c r="B462" s="3" t="s">
        <v>234</v>
      </c>
      <c r="C462" s="3" t="s">
        <v>452</v>
      </c>
      <c r="D462" s="23" t="n">
        <v>1231.2</v>
      </c>
      <c r="E462" s="23" t="n">
        <v>963.954088262392</v>
      </c>
      <c r="F462" s="23" t="n">
        <f aca="false">D462-E462</f>
        <v>267.245911737608</v>
      </c>
      <c r="G462" s="24" t="n">
        <f aca="false">IF(E462&gt;0,D462/E462-1,"")</f>
        <v>0.27723925339571</v>
      </c>
      <c r="H462" s="3" t="str">
        <f aca="false">IF(MAX(D462,E462)&lt;Parametros!$B$16,"",IF(E462=0,"PIDE SIN FCST",IF(ABS(G462)&gt;Parametros!$B$14,IF(G462&gt;0,"SOBRE FCST","BAJO FCST"),"")))</f>
        <v>SOBRE FCST</v>
      </c>
    </row>
    <row r="463" customFormat="false" ht="15" hidden="false" customHeight="false" outlineLevel="0" collapsed="false">
      <c r="A463" s="3" t="n">
        <v>30001924</v>
      </c>
      <c r="B463" s="3" t="s">
        <v>284</v>
      </c>
      <c r="C463" s="3" t="s">
        <v>448</v>
      </c>
      <c r="D463" s="23" t="n">
        <v>2352</v>
      </c>
      <c r="E463" s="23" t="n">
        <v>2616.625</v>
      </c>
      <c r="F463" s="23" t="n">
        <f aca="false">D463-E463</f>
        <v>-264.625</v>
      </c>
      <c r="G463" s="24" t="n">
        <f aca="false">IF(E463&gt;0,D463/E463-1,"")</f>
        <v>-0.101132183633497</v>
      </c>
      <c r="H463" s="3" t="str">
        <f aca="false">IF(MAX(D463,E463)&lt;Parametros!$B$16,"",IF(E463=0,"PIDE SIN FCST",IF(ABS(G463)&gt;Parametros!$B$14,IF(G463&gt;0,"SOBRE FCST","BAJO FCST"),"")))</f>
        <v/>
      </c>
    </row>
    <row r="464" customFormat="false" ht="15" hidden="false" customHeight="false" outlineLevel="0" collapsed="false">
      <c r="A464" s="3" t="n">
        <v>30002125</v>
      </c>
      <c r="B464" s="3" t="s">
        <v>262</v>
      </c>
      <c r="C464" s="3" t="s">
        <v>455</v>
      </c>
      <c r="D464" s="23" t="n">
        <v>3344</v>
      </c>
      <c r="E464" s="23" t="n">
        <v>3081.26925</v>
      </c>
      <c r="F464" s="23" t="n">
        <f aca="false">D464-E464</f>
        <v>262.73075</v>
      </c>
      <c r="G464" s="24" t="n">
        <f aca="false">IF(E464&gt;0,D464/E464-1,"")</f>
        <v>0.0852670535040065</v>
      </c>
      <c r="H464" s="3" t="str">
        <f aca="false">IF(MAX(D464,E464)&lt;Parametros!$B$16,"",IF(E464=0,"PIDE SIN FCST",IF(ABS(G464)&gt;Parametros!$B$14,IF(G464&gt;0,"SOBRE FCST","BAJO FCST"),"")))</f>
        <v/>
      </c>
    </row>
    <row r="465" customFormat="false" ht="15" hidden="false" customHeight="false" outlineLevel="0" collapsed="false">
      <c r="A465" s="3" t="n">
        <v>30000421</v>
      </c>
      <c r="B465" s="3" t="s">
        <v>267</v>
      </c>
      <c r="C465" s="3" t="s">
        <v>448</v>
      </c>
      <c r="D465" s="23" t="n">
        <v>720</v>
      </c>
      <c r="E465" s="23" t="n">
        <v>976.166666666667</v>
      </c>
      <c r="F465" s="23" t="n">
        <f aca="false">D465-E465</f>
        <v>-256.166666666667</v>
      </c>
      <c r="G465" s="24" t="n">
        <f aca="false">IF(E465&gt;0,D465/E465-1,"")</f>
        <v>-0.262421034659382</v>
      </c>
      <c r="H465" s="3" t="str">
        <f aca="false">IF(MAX(D465,E465)&lt;Parametros!$B$16,"",IF(E465=0,"PIDE SIN FCST",IF(ABS(G465)&gt;Parametros!$B$14,IF(G465&gt;0,"SOBRE FCST","BAJO FCST"),"")))</f>
        <v/>
      </c>
    </row>
    <row r="466" customFormat="false" ht="15" hidden="false" customHeight="false" outlineLevel="0" collapsed="false">
      <c r="A466" s="3" t="n">
        <v>30002078</v>
      </c>
      <c r="B466" s="3" t="s">
        <v>233</v>
      </c>
      <c r="C466" s="3" t="s">
        <v>452</v>
      </c>
      <c r="D466" s="23" t="n">
        <v>1668</v>
      </c>
      <c r="E466" s="23" t="n">
        <v>1423.9193971263</v>
      </c>
      <c r="F466" s="23" t="n">
        <f aca="false">D466-E466</f>
        <v>244.080602873705</v>
      </c>
      <c r="G466" s="24" t="n">
        <f aca="false">IF(E466&gt;0,D466/E466-1,"")</f>
        <v>0.171414620354424</v>
      </c>
      <c r="H466" s="3" t="str">
        <f aca="false">IF(MAX(D466,E466)&lt;Parametros!$B$16,"",IF(E466=0,"PIDE SIN FCST",IF(ABS(G466)&gt;Parametros!$B$14,IF(G466&gt;0,"SOBRE FCST","BAJO FCST"),"")))</f>
        <v/>
      </c>
    </row>
    <row r="467" customFormat="false" ht="15" hidden="false" customHeight="false" outlineLevel="0" collapsed="false">
      <c r="A467" s="3" t="n">
        <v>30002282</v>
      </c>
      <c r="B467" s="3" t="s">
        <v>292</v>
      </c>
      <c r="C467" s="3" t="s">
        <v>453</v>
      </c>
      <c r="D467" s="23" t="n">
        <v>156</v>
      </c>
      <c r="E467" s="23" t="n">
        <v>399.65</v>
      </c>
      <c r="F467" s="23" t="n">
        <f aca="false">D467-E467</f>
        <v>-243.65</v>
      </c>
      <c r="G467" s="24" t="n">
        <f aca="false">IF(E467&gt;0,D467/E467-1,"")</f>
        <v>-0.609658451144752</v>
      </c>
      <c r="H467" s="3" t="str">
        <f aca="false">IF(MAX(D467,E467)&lt;Parametros!$B$16,"",IF(E467=0,"PIDE SIN FCST",IF(ABS(G467)&gt;Parametros!$B$14,IF(G467&gt;0,"SOBRE FCST","BAJO FCST"),"")))</f>
        <v/>
      </c>
    </row>
    <row r="468" customFormat="false" ht="15" hidden="false" customHeight="false" outlineLevel="0" collapsed="false">
      <c r="A468" s="3" t="n">
        <v>30002125</v>
      </c>
      <c r="B468" s="3" t="s">
        <v>262</v>
      </c>
      <c r="C468" s="3" t="s">
        <v>452</v>
      </c>
      <c r="D468" s="23" t="n">
        <v>988</v>
      </c>
      <c r="E468" s="23" t="n">
        <v>1231.07590488613</v>
      </c>
      <c r="F468" s="23" t="n">
        <f aca="false">D468-E468</f>
        <v>-243.075904886127</v>
      </c>
      <c r="G468" s="24" t="n">
        <f aca="false">IF(E468&gt;0,D468/E468-1,"")</f>
        <v>-0.197449973573004</v>
      </c>
      <c r="H468" s="3" t="str">
        <f aca="false">IF(MAX(D468,E468)&lt;Parametros!$B$16,"",IF(E468=0,"PIDE SIN FCST",IF(ABS(G468)&gt;Parametros!$B$14,IF(G468&gt;0,"SOBRE FCST","BAJO FCST"),"")))</f>
        <v/>
      </c>
    </row>
    <row r="469" customFormat="false" ht="15" hidden="false" customHeight="false" outlineLevel="0" collapsed="false">
      <c r="A469" s="3" t="n">
        <v>30001410</v>
      </c>
      <c r="B469" s="3" t="s">
        <v>229</v>
      </c>
      <c r="C469" s="3" t="s">
        <v>450</v>
      </c>
      <c r="D469" s="23" t="n">
        <v>1166.4</v>
      </c>
      <c r="E469" s="23" t="n">
        <v>1408.73</v>
      </c>
      <c r="F469" s="23" t="n">
        <f aca="false">D469-E469</f>
        <v>-242.33</v>
      </c>
      <c r="G469" s="24" t="n">
        <f aca="false">IF(E469&gt;0,D469/E469-1,"")</f>
        <v>-0.172020188396641</v>
      </c>
      <c r="H469" s="3" t="str">
        <f aca="false">IF(MAX(D469,E469)&lt;Parametros!$B$16,"",IF(E469=0,"PIDE SIN FCST",IF(ABS(G469)&gt;Parametros!$B$14,IF(G469&gt;0,"SOBRE FCST","BAJO FCST"),"")))</f>
        <v/>
      </c>
    </row>
    <row r="470" customFormat="false" ht="15" hidden="false" customHeight="false" outlineLevel="0" collapsed="false">
      <c r="A470" s="3" t="n">
        <v>30000516</v>
      </c>
      <c r="B470" s="3" t="s">
        <v>216</v>
      </c>
      <c r="C470" s="3" t="s">
        <v>452</v>
      </c>
      <c r="D470" s="23" t="n">
        <v>1968</v>
      </c>
      <c r="E470" s="23" t="n">
        <v>2208.18147345296</v>
      </c>
      <c r="F470" s="23" t="n">
        <f aca="false">D470-E470</f>
        <v>-240.181473452962</v>
      </c>
      <c r="G470" s="24" t="n">
        <f aca="false">IF(E470&gt;0,D470/E470-1,"")</f>
        <v>-0.108768901623555</v>
      </c>
      <c r="H470" s="3" t="str">
        <f aca="false">IF(MAX(D470,E470)&lt;Parametros!$B$16,"",IF(E470=0,"PIDE SIN FCST",IF(ABS(G470)&gt;Parametros!$B$14,IF(G470&gt;0,"SOBRE FCST","BAJO FCST"),"")))</f>
        <v/>
      </c>
    </row>
    <row r="471" customFormat="false" ht="15" hidden="false" customHeight="false" outlineLevel="0" collapsed="false">
      <c r="A471" s="3" t="n">
        <v>30002285</v>
      </c>
      <c r="B471" s="3" t="s">
        <v>286</v>
      </c>
      <c r="C471" s="3" t="s">
        <v>452</v>
      </c>
      <c r="D471" s="23" t="n">
        <v>66</v>
      </c>
      <c r="E471" s="23" t="n">
        <v>305.42334636501</v>
      </c>
      <c r="F471" s="23" t="n">
        <f aca="false">D471-E471</f>
        <v>-239.42334636501</v>
      </c>
      <c r="G471" s="24" t="n">
        <f aca="false">IF(E471&gt;0,D471/E471-1,"")</f>
        <v>-0.783906499665144</v>
      </c>
      <c r="H471" s="3" t="str">
        <f aca="false">IF(MAX(D471,E471)&lt;Parametros!$B$16,"",IF(E471=0,"PIDE SIN FCST",IF(ABS(G471)&gt;Parametros!$B$14,IF(G471&gt;0,"SOBRE FCST","BAJO FCST"),"")))</f>
        <v/>
      </c>
    </row>
    <row r="472" customFormat="false" ht="15" hidden="false" customHeight="false" outlineLevel="0" collapsed="false">
      <c r="A472" s="3" t="n">
        <v>30000245</v>
      </c>
      <c r="B472" s="3" t="s">
        <v>250</v>
      </c>
      <c r="C472" s="3" t="s">
        <v>452</v>
      </c>
      <c r="D472" s="23" t="n">
        <v>2100</v>
      </c>
      <c r="E472" s="23" t="n">
        <v>1863.05922540797</v>
      </c>
      <c r="F472" s="23" t="n">
        <f aca="false">D472-E472</f>
        <v>236.940774592031</v>
      </c>
      <c r="G472" s="24" t="n">
        <f aca="false">IF(E472&gt;0,D472/E472-1,"")</f>
        <v>0.127178337307096</v>
      </c>
      <c r="H472" s="3" t="str">
        <f aca="false">IF(MAX(D472,E472)&lt;Parametros!$B$16,"",IF(E472=0,"PIDE SIN FCST",IF(ABS(G472)&gt;Parametros!$B$14,IF(G472&gt;0,"SOBRE FCST","BAJO FCST"),"")))</f>
        <v/>
      </c>
    </row>
    <row r="473" customFormat="false" ht="15" hidden="false" customHeight="false" outlineLevel="0" collapsed="false">
      <c r="A473" s="3" t="n">
        <v>30001149</v>
      </c>
      <c r="B473" s="3" t="s">
        <v>279</v>
      </c>
      <c r="C473" s="3" t="s">
        <v>452</v>
      </c>
      <c r="D473" s="23" t="n">
        <v>1014</v>
      </c>
      <c r="E473" s="23" t="n">
        <v>778.352534852411</v>
      </c>
      <c r="F473" s="23" t="n">
        <f aca="false">D473-E473</f>
        <v>235.647465147589</v>
      </c>
      <c r="G473" s="24" t="n">
        <f aca="false">IF(E473&gt;0,D473/E473-1,"")</f>
        <v>0.302751586968586</v>
      </c>
      <c r="H473" s="3" t="str">
        <f aca="false">IF(MAX(D473,E473)&lt;Parametros!$B$16,"",IF(E473=0,"PIDE SIN FCST",IF(ABS(G473)&gt;Parametros!$B$14,IF(G473&gt;0,"SOBRE FCST","BAJO FCST"),"")))</f>
        <v>SOBRE FCST</v>
      </c>
    </row>
    <row r="474" customFormat="false" ht="15" hidden="false" customHeight="false" outlineLevel="0" collapsed="false">
      <c r="A474" s="3" t="n">
        <v>30001376</v>
      </c>
      <c r="B474" s="3" t="s">
        <v>254</v>
      </c>
      <c r="C474" s="3" t="s">
        <v>450</v>
      </c>
      <c r="D474" s="23" t="n">
        <v>4981.5</v>
      </c>
      <c r="E474" s="23" t="n">
        <v>4745.99662674168</v>
      </c>
      <c r="F474" s="23" t="n">
        <f aca="false">D474-E474</f>
        <v>235.503373258319</v>
      </c>
      <c r="G474" s="24" t="n">
        <f aca="false">IF(E474&gt;0,D474/E474-1,"")</f>
        <v>0.0496214792761034</v>
      </c>
      <c r="H474" s="3" t="str">
        <f aca="false">IF(MAX(D474,E474)&lt;Parametros!$B$16,"",IF(E474=0,"PIDE SIN FCST",IF(ABS(G474)&gt;Parametros!$B$14,IF(G474&gt;0,"SOBRE FCST","BAJO FCST"),"")))</f>
        <v/>
      </c>
    </row>
    <row r="475" customFormat="false" ht="15" hidden="false" customHeight="false" outlineLevel="0" collapsed="false">
      <c r="A475" s="3" t="n">
        <v>30002272</v>
      </c>
      <c r="B475" s="3" t="s">
        <v>242</v>
      </c>
      <c r="C475" s="3" t="s">
        <v>452</v>
      </c>
      <c r="D475" s="23" t="n">
        <v>174</v>
      </c>
      <c r="E475" s="23" t="n">
        <v>406.198897996055</v>
      </c>
      <c r="F475" s="23" t="n">
        <f aca="false">D475-E475</f>
        <v>-232.198897996055</v>
      </c>
      <c r="G475" s="24" t="n">
        <f aca="false">IF(E475&gt;0,D475/E475-1,"")</f>
        <v>-0.571638424283244</v>
      </c>
      <c r="H475" s="3" t="str">
        <f aca="false">IF(MAX(D475,E475)&lt;Parametros!$B$16,"",IF(E475=0,"PIDE SIN FCST",IF(ABS(G475)&gt;Parametros!$B$14,IF(G475&gt;0,"SOBRE FCST","BAJO FCST"),"")))</f>
        <v/>
      </c>
    </row>
    <row r="476" customFormat="false" ht="15" hidden="false" customHeight="false" outlineLevel="0" collapsed="false">
      <c r="A476" s="3" t="n">
        <v>30001149</v>
      </c>
      <c r="B476" s="3" t="s">
        <v>279</v>
      </c>
      <c r="C476" s="3" t="s">
        <v>448</v>
      </c>
      <c r="D476" s="23" t="n">
        <v>930</v>
      </c>
      <c r="E476" s="23" t="n">
        <v>1159.40833333333</v>
      </c>
      <c r="F476" s="23" t="n">
        <f aca="false">D476-E476</f>
        <v>-229.408333333334</v>
      </c>
      <c r="G476" s="24" t="n">
        <f aca="false">IF(E476&gt;0,D476/E476-1,"")</f>
        <v>-0.197866728000633</v>
      </c>
      <c r="H476" s="3" t="str">
        <f aca="false">IF(MAX(D476,E476)&lt;Parametros!$B$16,"",IF(E476=0,"PIDE SIN FCST",IF(ABS(G476)&gt;Parametros!$B$14,IF(G476&gt;0,"SOBRE FCST","BAJO FCST"),"")))</f>
        <v/>
      </c>
    </row>
    <row r="477" customFormat="false" ht="15" hidden="false" customHeight="false" outlineLevel="0" collapsed="false">
      <c r="A477" s="3" t="n">
        <v>30000360</v>
      </c>
      <c r="B477" s="3" t="s">
        <v>245</v>
      </c>
      <c r="C477" s="3" t="s">
        <v>453</v>
      </c>
      <c r="D477" s="23" t="n">
        <v>900</v>
      </c>
      <c r="E477" s="23" t="n">
        <v>1124.72</v>
      </c>
      <c r="F477" s="23" t="n">
        <f aca="false">D477-E477</f>
        <v>-224.72</v>
      </c>
      <c r="G477" s="24" t="n">
        <f aca="false">IF(E477&gt;0,D477/E477-1,"")</f>
        <v>-0.199800839320009</v>
      </c>
      <c r="H477" s="3" t="str">
        <f aca="false">IF(MAX(D477,E477)&lt;Parametros!$B$16,"",IF(E477=0,"PIDE SIN FCST",IF(ABS(G477)&gt;Parametros!$B$14,IF(G477&gt;0,"SOBRE FCST","BAJO FCST"),"")))</f>
        <v/>
      </c>
    </row>
    <row r="478" customFormat="false" ht="15" hidden="false" customHeight="false" outlineLevel="0" collapsed="false">
      <c r="A478" s="3" t="n">
        <v>30001423</v>
      </c>
      <c r="B478" s="3" t="s">
        <v>230</v>
      </c>
      <c r="C478" s="3" t="s">
        <v>448</v>
      </c>
      <c r="D478" s="23" t="n">
        <v>8226</v>
      </c>
      <c r="E478" s="23" t="n">
        <v>8002.38541666667</v>
      </c>
      <c r="F478" s="23" t="n">
        <f aca="false">D478-E478</f>
        <v>223.614583333333</v>
      </c>
      <c r="G478" s="24" t="n">
        <f aca="false">IF(E478&gt;0,D478/E478-1,"")</f>
        <v>0.0279434908080793</v>
      </c>
      <c r="H478" s="3" t="str">
        <f aca="false">IF(MAX(D478,E478)&lt;Parametros!$B$16,"",IF(E478=0,"PIDE SIN FCST",IF(ABS(G478)&gt;Parametros!$B$14,IF(G478&gt;0,"SOBRE FCST","BAJO FCST"),"")))</f>
        <v/>
      </c>
    </row>
    <row r="479" customFormat="false" ht="15" hidden="false" customHeight="false" outlineLevel="0" collapsed="false">
      <c r="A479" s="3" t="n">
        <v>30000384</v>
      </c>
      <c r="B479" s="3" t="s">
        <v>210</v>
      </c>
      <c r="C479" s="3" t="s">
        <v>450</v>
      </c>
      <c r="D479" s="23" t="n">
        <v>12120</v>
      </c>
      <c r="E479" s="23" t="n">
        <v>12342.45</v>
      </c>
      <c r="F479" s="23" t="n">
        <f aca="false">D479-E479</f>
        <v>-222.450000000001</v>
      </c>
      <c r="G479" s="24" t="n">
        <f aca="false">IF(E479&gt;0,D479/E479-1,"")</f>
        <v>-0.0180231639585334</v>
      </c>
      <c r="H479" s="3" t="str">
        <f aca="false">IF(MAX(D479,E479)&lt;Parametros!$B$16,"",IF(E479=0,"PIDE SIN FCST",IF(ABS(G479)&gt;Parametros!$B$14,IF(G479&gt;0,"SOBRE FCST","BAJO FCST"),"")))</f>
        <v/>
      </c>
    </row>
    <row r="480" customFormat="false" ht="15" hidden="false" customHeight="false" outlineLevel="0" collapsed="false">
      <c r="A480" s="3" t="n">
        <v>30002291</v>
      </c>
      <c r="B480" s="3" t="s">
        <v>268</v>
      </c>
      <c r="C480" s="3" t="s">
        <v>452</v>
      </c>
      <c r="D480" s="23" t="n">
        <v>405</v>
      </c>
      <c r="E480" s="23" t="n">
        <v>195.806881190773</v>
      </c>
      <c r="F480" s="23" t="n">
        <f aca="false">D480-E480</f>
        <v>209.193118809227</v>
      </c>
      <c r="G480" s="24" t="n">
        <f aca="false">IF(E480&gt;0,D480/E480-1,"")</f>
        <v>1.06836449024185</v>
      </c>
      <c r="H480" s="3" t="str">
        <f aca="false">IF(MAX(D480,E480)&lt;Parametros!$B$16,"",IF(E480=0,"PIDE SIN FCST",IF(ABS(G480)&gt;Parametros!$B$14,IF(G480&gt;0,"SOBRE FCST","BAJO FCST"),"")))</f>
        <v/>
      </c>
    </row>
    <row r="481" customFormat="false" ht="15" hidden="false" customHeight="false" outlineLevel="0" collapsed="false">
      <c r="A481" s="3" t="n">
        <v>30001407</v>
      </c>
      <c r="B481" s="3" t="s">
        <v>280</v>
      </c>
      <c r="C481" s="3" t="s">
        <v>453</v>
      </c>
      <c r="D481" s="23" t="n">
        <v>562.5</v>
      </c>
      <c r="E481" s="23" t="n">
        <v>355.13923928339</v>
      </c>
      <c r="F481" s="23" t="n">
        <f aca="false">D481-E481</f>
        <v>207.36076071661</v>
      </c>
      <c r="G481" s="24" t="n">
        <f aca="false">IF(E481&gt;0,D481/E481-1,"")</f>
        <v>0.5838858052831</v>
      </c>
      <c r="H481" s="3" t="str">
        <f aca="false">IF(MAX(D481,E481)&lt;Parametros!$B$16,"",IF(E481=0,"PIDE SIN FCST",IF(ABS(G481)&gt;Parametros!$B$14,IF(G481&gt;0,"SOBRE FCST","BAJO FCST"),"")))</f>
        <v/>
      </c>
    </row>
    <row r="482" customFormat="false" ht="15" hidden="false" customHeight="false" outlineLevel="0" collapsed="false">
      <c r="A482" s="3" t="n">
        <v>30000334</v>
      </c>
      <c r="B482" s="3" t="s">
        <v>266</v>
      </c>
      <c r="C482" s="3" t="s">
        <v>451</v>
      </c>
      <c r="D482" s="23" t="n">
        <v>564</v>
      </c>
      <c r="E482" s="23" t="n">
        <v>768</v>
      </c>
      <c r="F482" s="23" t="n">
        <f aca="false">D482-E482</f>
        <v>-204</v>
      </c>
      <c r="G482" s="24" t="n">
        <f aca="false">IF(E482&gt;0,D482/E482-1,"")</f>
        <v>-0.265625</v>
      </c>
      <c r="H482" s="3" t="str">
        <f aca="false">IF(MAX(D482,E482)&lt;Parametros!$B$16,"",IF(E482=0,"PIDE SIN FCST",IF(ABS(G482)&gt;Parametros!$B$14,IF(G482&gt;0,"SOBRE FCST","BAJO FCST"),"")))</f>
        <v/>
      </c>
    </row>
    <row r="483" customFormat="false" ht="15" hidden="false" customHeight="false" outlineLevel="0" collapsed="false">
      <c r="A483" s="3" t="n">
        <v>30000384</v>
      </c>
      <c r="B483" s="3" t="s">
        <v>210</v>
      </c>
      <c r="C483" s="3" t="s">
        <v>452</v>
      </c>
      <c r="D483" s="23" t="n">
        <v>1416</v>
      </c>
      <c r="E483" s="23" t="n">
        <v>1619.50737122814</v>
      </c>
      <c r="F483" s="23" t="n">
        <f aca="false">D483-E483</f>
        <v>-203.507371228135</v>
      </c>
      <c r="G483" s="24" t="n">
        <f aca="false">IF(E483&gt;0,D483/E483-1,"")</f>
        <v>-0.125660046285438</v>
      </c>
      <c r="H483" s="3" t="str">
        <f aca="false">IF(MAX(D483,E483)&lt;Parametros!$B$16,"",IF(E483=0,"PIDE SIN FCST",IF(ABS(G483)&gt;Parametros!$B$14,IF(G483&gt;0,"SOBRE FCST","BAJO FCST"),"")))</f>
        <v/>
      </c>
    </row>
    <row r="484" customFormat="false" ht="15" hidden="false" customHeight="false" outlineLevel="0" collapsed="false">
      <c r="A484" s="3" t="n">
        <v>30000327</v>
      </c>
      <c r="B484" s="3" t="s">
        <v>259</v>
      </c>
      <c r="C484" s="3" t="s">
        <v>453</v>
      </c>
      <c r="D484" s="23" t="n">
        <v>1476</v>
      </c>
      <c r="E484" s="23" t="n">
        <v>1275.89635549872</v>
      </c>
      <c r="F484" s="23" t="n">
        <f aca="false">D484-E484</f>
        <v>200.103644501279</v>
      </c>
      <c r="G484" s="24" t="n">
        <f aca="false">IF(E484&gt;0,D484/E484-1,"")</f>
        <v>0.156833777006176</v>
      </c>
      <c r="H484" s="3" t="str">
        <f aca="false">IF(MAX(D484,E484)&lt;Parametros!$B$16,"",IF(E484=0,"PIDE SIN FCST",IF(ABS(G484)&gt;Parametros!$B$14,IF(G484&gt;0,"SOBRE FCST","BAJO FCST"),"")))</f>
        <v/>
      </c>
    </row>
    <row r="485" customFormat="false" ht="15" hidden="false" customHeight="false" outlineLevel="0" collapsed="false">
      <c r="A485" s="3" t="n">
        <v>30000321</v>
      </c>
      <c r="B485" s="3" t="s">
        <v>237</v>
      </c>
      <c r="C485" s="3" t="s">
        <v>450</v>
      </c>
      <c r="D485" s="23" t="n">
        <v>4800</v>
      </c>
      <c r="E485" s="23" t="n">
        <v>5000</v>
      </c>
      <c r="F485" s="23" t="n">
        <f aca="false">D485-E485</f>
        <v>-200</v>
      </c>
      <c r="G485" s="24" t="n">
        <f aca="false">IF(E485&gt;0,D485/E485-1,"")</f>
        <v>-0.04</v>
      </c>
      <c r="H485" s="3" t="str">
        <f aca="false">IF(MAX(D485,E485)&lt;Parametros!$B$16,"",IF(E485=0,"PIDE SIN FCST",IF(ABS(G485)&gt;Parametros!$B$14,IF(G485&gt;0,"SOBRE FCST","BAJO FCST"),"")))</f>
        <v/>
      </c>
    </row>
    <row r="486" customFormat="false" ht="15" hidden="false" customHeight="false" outlineLevel="0" collapsed="false">
      <c r="A486" s="3" t="n">
        <v>30002282</v>
      </c>
      <c r="B486" s="3" t="s">
        <v>292</v>
      </c>
      <c r="C486" s="3" t="s">
        <v>452</v>
      </c>
      <c r="D486" s="23" t="n">
        <v>60</v>
      </c>
      <c r="E486" s="23" t="n">
        <v>259.261417069185</v>
      </c>
      <c r="F486" s="23" t="n">
        <f aca="false">D486-E486</f>
        <v>-199.261417069185</v>
      </c>
      <c r="G486" s="24" t="n">
        <f aca="false">IF(E486&gt;0,D486/E486-1,"")</f>
        <v>-0.768573354731033</v>
      </c>
      <c r="H486" s="3" t="str">
        <f aca="false">IF(MAX(D486,E486)&lt;Parametros!$B$16,"",IF(E486=0,"PIDE SIN FCST",IF(ABS(G486)&gt;Parametros!$B$14,IF(G486&gt;0,"SOBRE FCST","BAJO FCST"),"")))</f>
        <v/>
      </c>
    </row>
    <row r="487" customFormat="false" ht="15" hidden="false" customHeight="false" outlineLevel="0" collapsed="false">
      <c r="A487" s="3" t="n">
        <v>30002292</v>
      </c>
      <c r="B487" s="3" t="s">
        <v>265</v>
      </c>
      <c r="C487" s="3" t="s">
        <v>452</v>
      </c>
      <c r="D487" s="23" t="n">
        <v>198</v>
      </c>
      <c r="E487" s="23" t="n">
        <v>0</v>
      </c>
      <c r="F487" s="23" t="n">
        <f aca="false">D487-E487</f>
        <v>198</v>
      </c>
      <c r="G487" s="24" t="str">
        <f aca="false">IF(E487&gt;0,D487/E487-1,"")</f>
        <v/>
      </c>
      <c r="H487" s="3" t="str">
        <f aca="false">IF(MAX(D487,E487)&lt;Parametros!$B$16,"",IF(E487=0,"PIDE SIN FCST",IF(ABS(G487)&gt;Parametros!$B$14,IF(G487&gt;0,"SOBRE FCST","BAJO FCST"),"")))</f>
        <v/>
      </c>
    </row>
    <row r="488" customFormat="false" ht="15" hidden="false" customHeight="false" outlineLevel="0" collapsed="false">
      <c r="A488" s="3" t="n">
        <v>30001980</v>
      </c>
      <c r="B488" s="3" t="s">
        <v>247</v>
      </c>
      <c r="C488" s="3" t="s">
        <v>454</v>
      </c>
      <c r="D488" s="23" t="n">
        <v>598.5</v>
      </c>
      <c r="E488" s="23" t="n">
        <v>404.187586906141</v>
      </c>
      <c r="F488" s="23" t="n">
        <f aca="false">D488-E488</f>
        <v>194.312413093859</v>
      </c>
      <c r="G488" s="24" t="n">
        <f aca="false">IF(E488&gt;0,D488/E488-1,"")</f>
        <v>0.480748096647958</v>
      </c>
      <c r="H488" s="3" t="str">
        <f aca="false">IF(MAX(D488,E488)&lt;Parametros!$B$16,"",IF(E488=0,"PIDE SIN FCST",IF(ABS(G488)&gt;Parametros!$B$14,IF(G488&gt;0,"SOBRE FCST","BAJO FCST"),"")))</f>
        <v/>
      </c>
    </row>
    <row r="489" customFormat="false" ht="15" hidden="false" customHeight="false" outlineLevel="0" collapsed="false">
      <c r="A489" s="3" t="n">
        <v>30002325</v>
      </c>
      <c r="B489" s="3" t="s">
        <v>272</v>
      </c>
      <c r="C489" s="3" t="s">
        <v>452</v>
      </c>
      <c r="D489" s="23" t="n">
        <v>387</v>
      </c>
      <c r="E489" s="23" t="n">
        <v>196.337832221023</v>
      </c>
      <c r="F489" s="23" t="n">
        <f aca="false">D489-E489</f>
        <v>190.662167778977</v>
      </c>
      <c r="G489" s="24" t="n">
        <f aca="false">IF(E489&gt;0,D489/E489-1,"")</f>
        <v>0.971092354551128</v>
      </c>
      <c r="H489" s="3" t="str">
        <f aca="false">IF(MAX(D489,E489)&lt;Parametros!$B$16,"",IF(E489=0,"PIDE SIN FCST",IF(ABS(G489)&gt;Parametros!$B$14,IF(G489&gt;0,"SOBRE FCST","BAJO FCST"),"")))</f>
        <v/>
      </c>
    </row>
    <row r="490" customFormat="false" ht="15" hidden="false" customHeight="false" outlineLevel="0" collapsed="false">
      <c r="A490" s="3" t="n">
        <v>30001410</v>
      </c>
      <c r="B490" s="3" t="s">
        <v>229</v>
      </c>
      <c r="C490" s="3" t="s">
        <v>454</v>
      </c>
      <c r="D490" s="23" t="n">
        <v>1321.92</v>
      </c>
      <c r="E490" s="23" t="n">
        <v>1506.99057815411</v>
      </c>
      <c r="F490" s="23" t="n">
        <f aca="false">D490-E490</f>
        <v>-185.070578154107</v>
      </c>
      <c r="G490" s="24" t="n">
        <f aca="false">IF(E490&gt;0,D490/E490-1,"")</f>
        <v>-0.122808052576412</v>
      </c>
      <c r="H490" s="3" t="str">
        <f aca="false">IF(MAX(D490,E490)&lt;Parametros!$B$16,"",IF(E490=0,"PIDE SIN FCST",IF(ABS(G490)&gt;Parametros!$B$14,IF(G490&gt;0,"SOBRE FCST","BAJO FCST"),"")))</f>
        <v/>
      </c>
    </row>
    <row r="491" customFormat="false" ht="15" hidden="false" customHeight="false" outlineLevel="0" collapsed="false">
      <c r="A491" s="3" t="n">
        <v>30002262</v>
      </c>
      <c r="B491" s="3" t="s">
        <v>275</v>
      </c>
      <c r="C491" s="3" t="s">
        <v>453</v>
      </c>
      <c r="D491" s="23" t="n">
        <v>345</v>
      </c>
      <c r="E491" s="23" t="n">
        <v>160</v>
      </c>
      <c r="F491" s="23" t="n">
        <f aca="false">D491-E491</f>
        <v>185</v>
      </c>
      <c r="G491" s="24" t="n">
        <f aca="false">IF(E491&gt;0,D491/E491-1,"")</f>
        <v>1.15625</v>
      </c>
      <c r="H491" s="3" t="str">
        <f aca="false">IF(MAX(D491,E491)&lt;Parametros!$B$16,"",IF(E491=0,"PIDE SIN FCST",IF(ABS(G491)&gt;Parametros!$B$14,IF(G491&gt;0,"SOBRE FCST","BAJO FCST"),"")))</f>
        <v/>
      </c>
    </row>
    <row r="492" customFormat="false" ht="15" hidden="false" customHeight="false" outlineLevel="0" collapsed="false">
      <c r="A492" s="3" t="n">
        <v>30002261</v>
      </c>
      <c r="B492" s="3" t="s">
        <v>282</v>
      </c>
      <c r="C492" s="3" t="s">
        <v>453</v>
      </c>
      <c r="D492" s="23" t="n">
        <v>345</v>
      </c>
      <c r="E492" s="23" t="n">
        <v>160</v>
      </c>
      <c r="F492" s="23" t="n">
        <f aca="false">D492-E492</f>
        <v>185</v>
      </c>
      <c r="G492" s="24" t="n">
        <f aca="false">IF(E492&gt;0,D492/E492-1,"")</f>
        <v>1.15625</v>
      </c>
      <c r="H492" s="3" t="str">
        <f aca="false">IF(MAX(D492,E492)&lt;Parametros!$B$16,"",IF(E492=0,"PIDE SIN FCST",IF(ABS(G492)&gt;Parametros!$B$14,IF(G492&gt;0,"SOBRE FCST","BAJO FCST"),"")))</f>
        <v/>
      </c>
    </row>
    <row r="493" customFormat="false" ht="15" hidden="false" customHeight="false" outlineLevel="0" collapsed="false">
      <c r="A493" s="3" t="n">
        <v>30000542</v>
      </c>
      <c r="B493" s="3" t="s">
        <v>296</v>
      </c>
      <c r="C493" s="3" t="s">
        <v>451</v>
      </c>
      <c r="D493" s="23" t="n">
        <v>184.8</v>
      </c>
      <c r="E493" s="23" t="n">
        <v>0</v>
      </c>
      <c r="F493" s="23" t="n">
        <f aca="false">D493-E493</f>
        <v>184.8</v>
      </c>
      <c r="G493" s="24" t="str">
        <f aca="false">IF(E493&gt;0,D493/E493-1,"")</f>
        <v/>
      </c>
      <c r="H493" s="3" t="str">
        <f aca="false">IF(MAX(D493,E493)&lt;Parametros!$B$16,"",IF(E493=0,"PIDE SIN FCST",IF(ABS(G493)&gt;Parametros!$B$14,IF(G493&gt;0,"SOBRE FCST","BAJO FCST"),"")))</f>
        <v/>
      </c>
    </row>
    <row r="494" customFormat="false" ht="15" hidden="false" customHeight="false" outlineLevel="0" collapsed="false">
      <c r="A494" s="3" t="n">
        <v>30001423</v>
      </c>
      <c r="B494" s="3" t="s">
        <v>230</v>
      </c>
      <c r="C494" s="3" t="s">
        <v>450</v>
      </c>
      <c r="D494" s="23" t="n">
        <v>8815.5</v>
      </c>
      <c r="E494" s="23" t="n">
        <v>9000</v>
      </c>
      <c r="F494" s="23" t="n">
        <f aca="false">D494-E494</f>
        <v>-184.5</v>
      </c>
      <c r="G494" s="24" t="n">
        <f aca="false">IF(E494&gt;0,D494/E494-1,"")</f>
        <v>-0.0205</v>
      </c>
      <c r="H494" s="3" t="str">
        <f aca="false">IF(MAX(D494,E494)&lt;Parametros!$B$16,"",IF(E494=0,"PIDE SIN FCST",IF(ABS(G494)&gt;Parametros!$B$14,IF(G494&gt;0,"SOBRE FCST","BAJO FCST"),"")))</f>
        <v/>
      </c>
    </row>
    <row r="495" customFormat="false" ht="15" hidden="false" customHeight="false" outlineLevel="0" collapsed="false">
      <c r="A495" s="3" t="n">
        <v>30000334</v>
      </c>
      <c r="B495" s="3" t="s">
        <v>266</v>
      </c>
      <c r="C495" s="3" t="s">
        <v>452</v>
      </c>
      <c r="D495" s="23" t="n">
        <v>804</v>
      </c>
      <c r="E495" s="23" t="n">
        <v>620.84715401851</v>
      </c>
      <c r="F495" s="23" t="n">
        <f aca="false">D495-E495</f>
        <v>183.15284598149</v>
      </c>
      <c r="G495" s="24" t="n">
        <f aca="false">IF(E495&gt;0,D495/E495-1,"")</f>
        <v>0.29500472829103</v>
      </c>
      <c r="H495" s="3" t="str">
        <f aca="false">IF(MAX(D495,E495)&lt;Parametros!$B$16,"",IF(E495=0,"PIDE SIN FCST",IF(ABS(G495)&gt;Parametros!$B$14,IF(G495&gt;0,"SOBRE FCST","BAJO FCST"),"")))</f>
        <v/>
      </c>
    </row>
    <row r="496" customFormat="false" ht="15" hidden="false" customHeight="false" outlineLevel="0" collapsed="false">
      <c r="A496" s="3" t="n">
        <v>30002178</v>
      </c>
      <c r="B496" s="3" t="s">
        <v>277</v>
      </c>
      <c r="C496" s="3" t="s">
        <v>455</v>
      </c>
      <c r="D496" s="23" t="n">
        <v>2183.1</v>
      </c>
      <c r="E496" s="23" t="n">
        <v>2000</v>
      </c>
      <c r="F496" s="23" t="n">
        <f aca="false">D496-E496</f>
        <v>183.1</v>
      </c>
      <c r="G496" s="24" t="n">
        <f aca="false">IF(E496&gt;0,D496/E496-1,"")</f>
        <v>0.09155</v>
      </c>
      <c r="H496" s="3" t="str">
        <f aca="false">IF(MAX(D496,E496)&lt;Parametros!$B$16,"",IF(E496=0,"PIDE SIN FCST",IF(ABS(G496)&gt;Parametros!$B$14,IF(G496&gt;0,"SOBRE FCST","BAJO FCST"),"")))</f>
        <v/>
      </c>
    </row>
    <row r="497" customFormat="false" ht="15" hidden="false" customHeight="false" outlineLevel="0" collapsed="false">
      <c r="A497" s="3" t="n">
        <v>30002078</v>
      </c>
      <c r="B497" s="3" t="s">
        <v>233</v>
      </c>
      <c r="C497" s="3" t="s">
        <v>454</v>
      </c>
      <c r="D497" s="23" t="n">
        <v>3192</v>
      </c>
      <c r="E497" s="23" t="n">
        <v>3374.24</v>
      </c>
      <c r="F497" s="23" t="n">
        <f aca="false">D497-E497</f>
        <v>-182.24</v>
      </c>
      <c r="G497" s="24" t="n">
        <f aca="false">IF(E497&gt;0,D497/E497-1,"")</f>
        <v>-0.05400919910854</v>
      </c>
      <c r="H497" s="3" t="str">
        <f aca="false">IF(MAX(D497,E497)&lt;Parametros!$B$16,"",IF(E497=0,"PIDE SIN FCST",IF(ABS(G497)&gt;Parametros!$B$14,IF(G497&gt;0,"SOBRE FCST","BAJO FCST"),"")))</f>
        <v/>
      </c>
    </row>
    <row r="498" customFormat="false" ht="15" hidden="false" customHeight="false" outlineLevel="0" collapsed="false">
      <c r="A498" s="3" t="n">
        <v>30002359</v>
      </c>
      <c r="B498" s="3" t="s">
        <v>251</v>
      </c>
      <c r="C498" s="3" t="s">
        <v>452</v>
      </c>
      <c r="D498" s="23" t="n">
        <v>948</v>
      </c>
      <c r="E498" s="23" t="n">
        <v>765.951650360965</v>
      </c>
      <c r="F498" s="23" t="n">
        <f aca="false">D498-E498</f>
        <v>182.048349639035</v>
      </c>
      <c r="G498" s="24" t="n">
        <f aca="false">IF(E498&gt;0,D498/E498-1,"")</f>
        <v>0.237676032884377</v>
      </c>
      <c r="H498" s="3" t="str">
        <f aca="false">IF(MAX(D498,E498)&lt;Parametros!$B$16,"",IF(E498=0,"PIDE SIN FCST",IF(ABS(G498)&gt;Parametros!$B$14,IF(G498&gt;0,"SOBRE FCST","BAJO FCST"),"")))</f>
        <v/>
      </c>
    </row>
    <row r="499" customFormat="false" ht="15" hidden="false" customHeight="false" outlineLevel="0" collapsed="false">
      <c r="A499" s="3" t="n">
        <v>30001409</v>
      </c>
      <c r="B499" s="3" t="s">
        <v>211</v>
      </c>
      <c r="C499" s="3" t="s">
        <v>447</v>
      </c>
      <c r="D499" s="23" t="n">
        <v>5032</v>
      </c>
      <c r="E499" s="23" t="n">
        <v>4850.16854778029</v>
      </c>
      <c r="F499" s="23" t="n">
        <f aca="false">D499-E499</f>
        <v>181.831452219714</v>
      </c>
      <c r="G499" s="24" t="n">
        <f aca="false">IF(E499&gt;0,D499/E499-1,"")</f>
        <v>0.0374897182290563</v>
      </c>
      <c r="H499" s="3" t="str">
        <f aca="false">IF(MAX(D499,E499)&lt;Parametros!$B$16,"",IF(E499=0,"PIDE SIN FCST",IF(ABS(G499)&gt;Parametros!$B$14,IF(G499&gt;0,"SOBRE FCST","BAJO FCST"),"")))</f>
        <v/>
      </c>
    </row>
    <row r="500" customFormat="false" ht="15" hidden="false" customHeight="false" outlineLevel="0" collapsed="false">
      <c r="A500" s="3" t="n">
        <v>30002315</v>
      </c>
      <c r="B500" s="3" t="s">
        <v>208</v>
      </c>
      <c r="C500" s="3" t="s">
        <v>452</v>
      </c>
      <c r="D500" s="23" t="n">
        <v>1152</v>
      </c>
      <c r="E500" s="23" t="n">
        <v>970.376289562594</v>
      </c>
      <c r="F500" s="23" t="n">
        <f aca="false">D500-E500</f>
        <v>181.623710437406</v>
      </c>
      <c r="G500" s="24" t="n">
        <f aca="false">IF(E500&gt;0,D500/E500-1,"")</f>
        <v>0.187168330874278</v>
      </c>
      <c r="H500" s="3" t="str">
        <f aca="false">IF(MAX(D500,E500)&lt;Parametros!$B$16,"",IF(E500=0,"PIDE SIN FCST",IF(ABS(G500)&gt;Parametros!$B$14,IF(G500&gt;0,"SOBRE FCST","BAJO FCST"),"")))</f>
        <v/>
      </c>
    </row>
    <row r="501" customFormat="false" ht="15" hidden="false" customHeight="false" outlineLevel="0" collapsed="false">
      <c r="A501" s="3" t="n">
        <v>30000355</v>
      </c>
      <c r="B501" s="3" t="s">
        <v>290</v>
      </c>
      <c r="C501" s="3" t="s">
        <v>450</v>
      </c>
      <c r="D501" s="23" t="n">
        <v>576</v>
      </c>
      <c r="E501" s="23" t="n">
        <v>755.645161290323</v>
      </c>
      <c r="F501" s="23" t="n">
        <f aca="false">D501-E501</f>
        <v>-179.645161290323</v>
      </c>
      <c r="G501" s="24" t="n">
        <f aca="false">IF(E501&gt;0,D501/E501-1,"")</f>
        <v>-0.237737459978656</v>
      </c>
      <c r="H501" s="3" t="str">
        <f aca="false">IF(MAX(D501,E501)&lt;Parametros!$B$16,"",IF(E501=0,"PIDE SIN FCST",IF(ABS(G501)&gt;Parametros!$B$14,IF(G501&gt;0,"SOBRE FCST","BAJO FCST"),"")))</f>
        <v/>
      </c>
    </row>
    <row r="502" customFormat="false" ht="15" hidden="false" customHeight="false" outlineLevel="0" collapsed="false">
      <c r="A502" s="3" t="n">
        <v>30000347</v>
      </c>
      <c r="B502" s="3" t="s">
        <v>227</v>
      </c>
      <c r="C502" s="3" t="s">
        <v>452</v>
      </c>
      <c r="D502" s="23" t="n">
        <v>1806</v>
      </c>
      <c r="E502" s="23" t="n">
        <v>1626.89487605725</v>
      </c>
      <c r="F502" s="23" t="n">
        <f aca="false">D502-E502</f>
        <v>179.105123942749</v>
      </c>
      <c r="G502" s="24" t="n">
        <f aca="false">IF(E502&gt;0,D502/E502-1,"")</f>
        <v>0.110090164139435</v>
      </c>
      <c r="H502" s="3" t="str">
        <f aca="false">IF(MAX(D502,E502)&lt;Parametros!$B$16,"",IF(E502=0,"PIDE SIN FCST",IF(ABS(G502)&gt;Parametros!$B$14,IF(G502&gt;0,"SOBRE FCST","BAJO FCST"),"")))</f>
        <v/>
      </c>
    </row>
    <row r="503" customFormat="false" ht="15" hidden="false" customHeight="false" outlineLevel="0" collapsed="false">
      <c r="A503" s="3" t="n">
        <v>30002269</v>
      </c>
      <c r="B503" s="3" t="s">
        <v>281</v>
      </c>
      <c r="C503" s="3" t="s">
        <v>448</v>
      </c>
      <c r="D503" s="23" t="n">
        <v>252</v>
      </c>
      <c r="E503" s="23" t="n">
        <v>427.395833333333</v>
      </c>
      <c r="F503" s="23" t="n">
        <f aca="false">D503-E503</f>
        <v>-175.395833333333</v>
      </c>
      <c r="G503" s="24" t="n">
        <f aca="false">IF(E503&gt;0,D503/E503-1,"")</f>
        <v>-0.410382646843773</v>
      </c>
      <c r="H503" s="3" t="str">
        <f aca="false">IF(MAX(D503,E503)&lt;Parametros!$B$16,"",IF(E503=0,"PIDE SIN FCST",IF(ABS(G503)&gt;Parametros!$B$14,IF(G503&gt;0,"SOBRE FCST","BAJO FCST"),"")))</f>
        <v/>
      </c>
    </row>
    <row r="504" customFormat="false" ht="15" hidden="false" customHeight="false" outlineLevel="0" collapsed="false">
      <c r="A504" s="3" t="n">
        <v>30002180</v>
      </c>
      <c r="B504" s="3" t="s">
        <v>260</v>
      </c>
      <c r="C504" s="3" t="s">
        <v>452</v>
      </c>
      <c r="D504" s="23" t="n">
        <v>513</v>
      </c>
      <c r="E504" s="23" t="n">
        <v>687.823817832966</v>
      </c>
      <c r="F504" s="23" t="n">
        <f aca="false">D504-E504</f>
        <v>-174.823817832965</v>
      </c>
      <c r="G504" s="24" t="n">
        <f aca="false">IF(E504&gt;0,D504/E504-1,"")</f>
        <v>-0.254169473781469</v>
      </c>
      <c r="H504" s="3" t="str">
        <f aca="false">IF(MAX(D504,E504)&lt;Parametros!$B$16,"",IF(E504=0,"PIDE SIN FCST",IF(ABS(G504)&gt;Parametros!$B$14,IF(G504&gt;0,"SOBRE FCST","BAJO FCST"),"")))</f>
        <v/>
      </c>
    </row>
    <row r="505" customFormat="false" ht="15" hidden="false" customHeight="false" outlineLevel="0" collapsed="false">
      <c r="A505" s="3" t="n">
        <v>30000355</v>
      </c>
      <c r="B505" s="3" t="s">
        <v>290</v>
      </c>
      <c r="C505" s="3" t="s">
        <v>453</v>
      </c>
      <c r="D505" s="23" t="n">
        <v>1728</v>
      </c>
      <c r="E505" s="23" t="n">
        <v>1559.19815638703</v>
      </c>
      <c r="F505" s="23" t="n">
        <f aca="false">D505-E505</f>
        <v>168.801843612972</v>
      </c>
      <c r="G505" s="24" t="n">
        <f aca="false">IF(E505&gt;0,D505/E505-1,"")</f>
        <v>0.1082619569049</v>
      </c>
      <c r="H505" s="3" t="str">
        <f aca="false">IF(MAX(D505,E505)&lt;Parametros!$B$16,"",IF(E505=0,"PIDE SIN FCST",IF(ABS(G505)&gt;Parametros!$B$14,IF(G505&gt;0,"SOBRE FCST","BAJO FCST"),"")))</f>
        <v/>
      </c>
    </row>
    <row r="506" customFormat="false" ht="15" hidden="false" customHeight="false" outlineLevel="0" collapsed="false">
      <c r="A506" s="3" t="n">
        <v>30000327</v>
      </c>
      <c r="B506" s="3" t="s">
        <v>259</v>
      </c>
      <c r="C506" s="3" t="s">
        <v>450</v>
      </c>
      <c r="D506" s="23" t="n">
        <v>816</v>
      </c>
      <c r="E506" s="23" t="n">
        <v>647.68</v>
      </c>
      <c r="F506" s="23" t="n">
        <f aca="false">D506-E506</f>
        <v>168.32</v>
      </c>
      <c r="G506" s="24" t="n">
        <f aca="false">IF(E506&gt;0,D506/E506-1,"")</f>
        <v>0.259881422924901</v>
      </c>
      <c r="H506" s="3" t="str">
        <f aca="false">IF(MAX(D506,E506)&lt;Parametros!$B$16,"",IF(E506=0,"PIDE SIN FCST",IF(ABS(G506)&gt;Parametros!$B$14,IF(G506&gt;0,"SOBRE FCST","BAJO FCST"),"")))</f>
        <v/>
      </c>
    </row>
    <row r="507" customFormat="false" ht="15" hidden="false" customHeight="false" outlineLevel="0" collapsed="false">
      <c r="A507" s="3" t="n">
        <v>30002178</v>
      </c>
      <c r="B507" s="3" t="s">
        <v>277</v>
      </c>
      <c r="C507" s="3" t="s">
        <v>452</v>
      </c>
      <c r="D507" s="23" t="n">
        <v>507.3</v>
      </c>
      <c r="E507" s="23" t="n">
        <v>674.926041060787</v>
      </c>
      <c r="F507" s="23" t="n">
        <f aca="false">D507-E507</f>
        <v>-167.626041060787</v>
      </c>
      <c r="G507" s="24" t="n">
        <f aca="false">IF(E507&gt;0,D507/E507-1,"")</f>
        <v>-0.24836208838131</v>
      </c>
      <c r="H507" s="3" t="str">
        <f aca="false">IF(MAX(D507,E507)&lt;Parametros!$B$16,"",IF(E507=0,"PIDE SIN FCST",IF(ABS(G507)&gt;Parametros!$B$14,IF(G507&gt;0,"SOBRE FCST","BAJO FCST"),"")))</f>
        <v/>
      </c>
    </row>
    <row r="508" customFormat="false" ht="15" hidden="false" customHeight="false" outlineLevel="0" collapsed="false">
      <c r="A508" s="3" t="n">
        <v>30002274</v>
      </c>
      <c r="B508" s="3" t="s">
        <v>287</v>
      </c>
      <c r="C508" s="3" t="s">
        <v>455</v>
      </c>
      <c r="D508" s="23" t="n">
        <v>3207.6</v>
      </c>
      <c r="E508" s="23" t="n">
        <v>3374.4</v>
      </c>
      <c r="F508" s="23" t="n">
        <f aca="false">D508-E508</f>
        <v>-166.800000000001</v>
      </c>
      <c r="G508" s="24" t="n">
        <f aca="false">IF(E508&gt;0,D508/E508-1,"")</f>
        <v>-0.0494310099573261</v>
      </c>
      <c r="H508" s="3" t="str">
        <f aca="false">IF(MAX(D508,E508)&lt;Parametros!$B$16,"",IF(E508=0,"PIDE SIN FCST",IF(ABS(G508)&gt;Parametros!$B$14,IF(G508&gt;0,"SOBRE FCST","BAJO FCST"),"")))</f>
        <v/>
      </c>
    </row>
    <row r="509" customFormat="false" ht="15" hidden="false" customHeight="false" outlineLevel="0" collapsed="false">
      <c r="A509" s="3" t="n">
        <v>30000306</v>
      </c>
      <c r="B509" s="3" t="s">
        <v>231</v>
      </c>
      <c r="C509" s="3" t="s">
        <v>450</v>
      </c>
      <c r="D509" s="23" t="n">
        <v>3846</v>
      </c>
      <c r="E509" s="23" t="n">
        <v>4007.29</v>
      </c>
      <c r="F509" s="23" t="n">
        <f aca="false">D509-E509</f>
        <v>-161.29</v>
      </c>
      <c r="G509" s="24" t="n">
        <f aca="false">IF(E509&gt;0,D509/E509-1,"")</f>
        <v>-0.0402491459315397</v>
      </c>
      <c r="H509" s="3" t="str">
        <f aca="false">IF(MAX(D509,E509)&lt;Parametros!$B$16,"",IF(E509=0,"PIDE SIN FCST",IF(ABS(G509)&gt;Parametros!$B$14,IF(G509&gt;0,"SOBRE FCST","BAJO FCST"),"")))</f>
        <v/>
      </c>
    </row>
    <row r="510" customFormat="false" ht="15" hidden="false" customHeight="false" outlineLevel="0" collapsed="false">
      <c r="A510" s="3" t="n">
        <v>30001410</v>
      </c>
      <c r="B510" s="3" t="s">
        <v>229</v>
      </c>
      <c r="C510" s="3" t="s">
        <v>453</v>
      </c>
      <c r="D510" s="23" t="n">
        <v>492.48</v>
      </c>
      <c r="E510" s="23" t="n">
        <v>652.824555727009</v>
      </c>
      <c r="F510" s="23" t="n">
        <f aca="false">D510-E510</f>
        <v>-160.344555727009</v>
      </c>
      <c r="G510" s="24" t="n">
        <f aca="false">IF(E510&gt;0,D510/E510-1,"")</f>
        <v>-0.245616612182186</v>
      </c>
      <c r="H510" s="3" t="str">
        <f aca="false">IF(MAX(D510,E510)&lt;Parametros!$B$16,"",IF(E510=0,"PIDE SIN FCST",IF(ABS(G510)&gt;Parametros!$B$14,IF(G510&gt;0,"SOBRE FCST","BAJO FCST"),"")))</f>
        <v/>
      </c>
    </row>
    <row r="511" customFormat="false" ht="15" hidden="false" customHeight="false" outlineLevel="0" collapsed="false">
      <c r="A511" s="3" t="n">
        <v>30000421</v>
      </c>
      <c r="B511" s="3" t="s">
        <v>267</v>
      </c>
      <c r="C511" s="3" t="s">
        <v>455</v>
      </c>
      <c r="D511" s="23" t="n">
        <v>6120</v>
      </c>
      <c r="E511" s="23" t="n">
        <v>5959.88</v>
      </c>
      <c r="F511" s="23" t="n">
        <f aca="false">D511-E511</f>
        <v>160.12</v>
      </c>
      <c r="G511" s="24" t="n">
        <f aca="false">IF(E511&gt;0,D511/E511-1,"")</f>
        <v>0.0268663127445519</v>
      </c>
      <c r="H511" s="3" t="str">
        <f aca="false">IF(MAX(D511,E511)&lt;Parametros!$B$16,"",IF(E511=0,"PIDE SIN FCST",IF(ABS(G511)&gt;Parametros!$B$14,IF(G511&gt;0,"SOBRE FCST","BAJO FCST"),"")))</f>
        <v/>
      </c>
    </row>
    <row r="512" customFormat="false" ht="15" hidden="false" customHeight="false" outlineLevel="0" collapsed="false">
      <c r="A512" s="3" t="n">
        <v>30000257</v>
      </c>
      <c r="B512" s="3" t="s">
        <v>197</v>
      </c>
      <c r="C512" s="3" t="s">
        <v>449</v>
      </c>
      <c r="D512" s="23" t="n">
        <v>72576</v>
      </c>
      <c r="E512" s="23" t="n">
        <v>72416.8</v>
      </c>
      <c r="F512" s="23" t="n">
        <f aca="false">D512-E512</f>
        <v>159.199999999997</v>
      </c>
      <c r="G512" s="24" t="n">
        <f aca="false">IF(E512&gt;0,D512/E512-1,"")</f>
        <v>0.00219838490516011</v>
      </c>
      <c r="H512" s="3" t="str">
        <f aca="false">IF(MAX(D512,E512)&lt;Parametros!$B$16,"",IF(E512=0,"PIDE SIN FCST",IF(ABS(G512)&gt;Parametros!$B$14,IF(G512&gt;0,"SOBRE FCST","BAJO FCST"),"")))</f>
        <v/>
      </c>
    </row>
    <row r="513" customFormat="false" ht="15" hidden="false" customHeight="false" outlineLevel="0" collapsed="false">
      <c r="A513" s="3" t="n">
        <v>30002230</v>
      </c>
      <c r="B513" s="3" t="s">
        <v>226</v>
      </c>
      <c r="C513" s="3" t="s">
        <v>448</v>
      </c>
      <c r="D513" s="23" t="n">
        <v>115</v>
      </c>
      <c r="E513" s="23" t="n">
        <v>273.447083333333</v>
      </c>
      <c r="F513" s="23" t="n">
        <f aca="false">D513-E513</f>
        <v>-158.447083333333</v>
      </c>
      <c r="G513" s="24" t="n">
        <f aca="false">IF(E513&gt;0,D513/E513-1,"")</f>
        <v>-0.579443310939198</v>
      </c>
      <c r="H513" s="3" t="str">
        <f aca="false">IF(MAX(D513,E513)&lt;Parametros!$B$16,"",IF(E513=0,"PIDE SIN FCST",IF(ABS(G513)&gt;Parametros!$B$14,IF(G513&gt;0,"SOBRE FCST","BAJO FCST"),"")))</f>
        <v/>
      </c>
    </row>
    <row r="514" customFormat="false" ht="15" hidden="false" customHeight="false" outlineLevel="0" collapsed="false">
      <c r="A514" s="3" t="n">
        <v>30000383</v>
      </c>
      <c r="B514" s="3" t="s">
        <v>288</v>
      </c>
      <c r="C514" s="3" t="s">
        <v>455</v>
      </c>
      <c r="D514" s="23" t="n">
        <v>3060</v>
      </c>
      <c r="E514" s="23" t="n">
        <v>2903</v>
      </c>
      <c r="F514" s="23" t="n">
        <f aca="false">D514-E514</f>
        <v>157</v>
      </c>
      <c r="G514" s="24" t="n">
        <f aca="false">IF(E514&gt;0,D514/E514-1,"")</f>
        <v>0.0540819841543232</v>
      </c>
      <c r="H514" s="3" t="str">
        <f aca="false">IF(MAX(D514,E514)&lt;Parametros!$B$16,"",IF(E514=0,"PIDE SIN FCST",IF(ABS(G514)&gt;Parametros!$B$14,IF(G514&gt;0,"SOBRE FCST","BAJO FCST"),"")))</f>
        <v/>
      </c>
    </row>
    <row r="515" customFormat="false" ht="15" hidden="false" customHeight="false" outlineLevel="0" collapsed="false">
      <c r="A515" s="3" t="n">
        <v>30002276</v>
      </c>
      <c r="B515" s="3" t="s">
        <v>276</v>
      </c>
      <c r="C515" s="3" t="s">
        <v>452</v>
      </c>
      <c r="D515" s="23" t="n">
        <v>216</v>
      </c>
      <c r="E515" s="23" t="n">
        <v>372.514548106179</v>
      </c>
      <c r="F515" s="23" t="n">
        <f aca="false">D515-E515</f>
        <v>-156.514548106179</v>
      </c>
      <c r="G515" s="24" t="n">
        <f aca="false">IF(E515&gt;0,D515/E515-1,"")</f>
        <v>-0.420156874145938</v>
      </c>
      <c r="H515" s="3" t="str">
        <f aca="false">IF(MAX(D515,E515)&lt;Parametros!$B$16,"",IF(E515=0,"PIDE SIN FCST",IF(ABS(G515)&gt;Parametros!$B$14,IF(G515&gt;0,"SOBRE FCST","BAJO FCST"),"")))</f>
        <v/>
      </c>
    </row>
    <row r="516" customFormat="false" ht="15" hidden="false" customHeight="false" outlineLevel="0" collapsed="false">
      <c r="A516" s="3" t="n">
        <v>30000347</v>
      </c>
      <c r="B516" s="3" t="s">
        <v>227</v>
      </c>
      <c r="C516" s="3" t="s">
        <v>455</v>
      </c>
      <c r="D516" s="23" t="n">
        <v>6372</v>
      </c>
      <c r="E516" s="23" t="n">
        <v>6218</v>
      </c>
      <c r="F516" s="23" t="n">
        <f aca="false">D516-E516</f>
        <v>154</v>
      </c>
      <c r="G516" s="24" t="n">
        <f aca="false">IF(E516&gt;0,D516/E516-1,"")</f>
        <v>0.0247668060469604</v>
      </c>
      <c r="H516" s="3" t="str">
        <f aca="false">IF(MAX(D516,E516)&lt;Parametros!$B$16,"",IF(E516=0,"PIDE SIN FCST",IF(ABS(G516)&gt;Parametros!$B$14,IF(G516&gt;0,"SOBRE FCST","BAJO FCST"),"")))</f>
        <v/>
      </c>
    </row>
    <row r="517" customFormat="false" ht="15" hidden="false" customHeight="false" outlineLevel="0" collapsed="false">
      <c r="A517" s="3" t="n">
        <v>30002276</v>
      </c>
      <c r="B517" s="3" t="s">
        <v>276</v>
      </c>
      <c r="C517" s="3" t="s">
        <v>448</v>
      </c>
      <c r="D517" s="23" t="n">
        <v>259.2</v>
      </c>
      <c r="E517" s="23" t="n">
        <v>412.95</v>
      </c>
      <c r="F517" s="23" t="n">
        <f aca="false">D517-E517</f>
        <v>-153.75</v>
      </c>
      <c r="G517" s="24" t="n">
        <f aca="false">IF(E517&gt;0,D517/E517-1,"")</f>
        <v>-0.372321104249909</v>
      </c>
      <c r="H517" s="3" t="str">
        <f aca="false">IF(MAX(D517,E517)&lt;Parametros!$B$16,"",IF(E517=0,"PIDE SIN FCST",IF(ABS(G517)&gt;Parametros!$B$14,IF(G517&gt;0,"SOBRE FCST","BAJO FCST"),"")))</f>
        <v/>
      </c>
    </row>
    <row r="518" customFormat="false" ht="15" hidden="false" customHeight="false" outlineLevel="0" collapsed="false">
      <c r="A518" s="3" t="n">
        <v>30002228</v>
      </c>
      <c r="B518" s="3" t="s">
        <v>255</v>
      </c>
      <c r="C518" s="3" t="s">
        <v>448</v>
      </c>
      <c r="D518" s="23" t="n">
        <v>0</v>
      </c>
      <c r="E518" s="23" t="n">
        <v>152.614583333333</v>
      </c>
      <c r="F518" s="23" t="n">
        <f aca="false">D518-E518</f>
        <v>-152.614583333333</v>
      </c>
      <c r="G518" s="24" t="n">
        <f aca="false">IF(E518&gt;0,D518/E518-1,"")</f>
        <v>-1</v>
      </c>
      <c r="H518" s="3" t="str">
        <f aca="false">IF(MAX(D518,E518)&lt;Parametros!$B$16,"",IF(E518=0,"PIDE SIN FCST",IF(ABS(G518)&gt;Parametros!$B$14,IF(G518&gt;0,"SOBRE FCST","BAJO FCST"),"")))</f>
        <v/>
      </c>
    </row>
    <row r="519" customFormat="false" ht="15" hidden="false" customHeight="false" outlineLevel="0" collapsed="false">
      <c r="A519" s="3" t="n">
        <v>30002178</v>
      </c>
      <c r="B519" s="3" t="s">
        <v>277</v>
      </c>
      <c r="C519" s="3" t="s">
        <v>453</v>
      </c>
      <c r="D519" s="23" t="n">
        <v>199.5</v>
      </c>
      <c r="E519" s="23" t="n">
        <v>351.399978667632</v>
      </c>
      <c r="F519" s="23" t="n">
        <f aca="false">D519-E519</f>
        <v>-151.899978667632</v>
      </c>
      <c r="G519" s="24" t="n">
        <f aca="false">IF(E519&gt;0,D519/E519-1,"")</f>
        <v>-0.432270881869646</v>
      </c>
      <c r="H519" s="3" t="str">
        <f aca="false">IF(MAX(D519,E519)&lt;Parametros!$B$16,"",IF(E519=0,"PIDE SIN FCST",IF(ABS(G519)&gt;Parametros!$B$14,IF(G519&gt;0,"SOBRE FCST","BAJO FCST"),"")))</f>
        <v/>
      </c>
    </row>
    <row r="520" customFormat="false" ht="15" hidden="false" customHeight="false" outlineLevel="0" collapsed="false">
      <c r="A520" s="3" t="n">
        <v>30002285</v>
      </c>
      <c r="B520" s="3" t="s">
        <v>286</v>
      </c>
      <c r="C520" s="3" t="s">
        <v>453</v>
      </c>
      <c r="D520" s="23" t="n">
        <v>264</v>
      </c>
      <c r="E520" s="23" t="n">
        <v>415.3</v>
      </c>
      <c r="F520" s="23" t="n">
        <f aca="false">D520-E520</f>
        <v>-151.3</v>
      </c>
      <c r="G520" s="24" t="n">
        <f aca="false">IF(E520&gt;0,D520/E520-1,"")</f>
        <v>-0.364314953045991</v>
      </c>
      <c r="H520" s="3" t="str">
        <f aca="false">IF(MAX(D520,E520)&lt;Parametros!$B$16,"",IF(E520=0,"PIDE SIN FCST",IF(ABS(G520)&gt;Parametros!$B$14,IF(G520&gt;0,"SOBRE FCST","BAJO FCST"),"")))</f>
        <v/>
      </c>
    </row>
    <row r="521" customFormat="false" ht="15" hidden="false" customHeight="false" outlineLevel="0" collapsed="false">
      <c r="A521" s="3" t="n">
        <v>30002274</v>
      </c>
      <c r="B521" s="3" t="s">
        <v>287</v>
      </c>
      <c r="C521" s="3" t="s">
        <v>448</v>
      </c>
      <c r="D521" s="23" t="n">
        <v>194.4</v>
      </c>
      <c r="E521" s="23" t="n">
        <v>344.925</v>
      </c>
      <c r="F521" s="23" t="n">
        <f aca="false">D521-E521</f>
        <v>-150.525</v>
      </c>
      <c r="G521" s="24" t="n">
        <f aca="false">IF(E521&gt;0,D521/E521-1,"")</f>
        <v>-0.436399217221135</v>
      </c>
      <c r="H521" s="3" t="str">
        <f aca="false">IF(MAX(D521,E521)&lt;Parametros!$B$16,"",IF(E521=0,"PIDE SIN FCST",IF(ABS(G521)&gt;Parametros!$B$14,IF(G521&gt;0,"SOBRE FCST","BAJO FCST"),"")))</f>
        <v/>
      </c>
    </row>
    <row r="522" customFormat="false" ht="15" hidden="false" customHeight="false" outlineLevel="0" collapsed="false">
      <c r="A522" s="3" t="n">
        <v>30002273</v>
      </c>
      <c r="B522" s="3" t="s">
        <v>273</v>
      </c>
      <c r="C522" s="3" t="s">
        <v>448</v>
      </c>
      <c r="D522" s="23" t="n">
        <v>165.6</v>
      </c>
      <c r="E522" s="23" t="n">
        <v>316.11</v>
      </c>
      <c r="F522" s="23" t="n">
        <f aca="false">D522-E522</f>
        <v>-150.51</v>
      </c>
      <c r="G522" s="24" t="n">
        <f aca="false">IF(E522&gt;0,D522/E522-1,"")</f>
        <v>-0.476131726297808</v>
      </c>
      <c r="H522" s="3" t="str">
        <f aca="false">IF(MAX(D522,E522)&lt;Parametros!$B$16,"",IF(E522=0,"PIDE SIN FCST",IF(ABS(G522)&gt;Parametros!$B$14,IF(G522&gt;0,"SOBRE FCST","BAJO FCST"),"")))</f>
        <v/>
      </c>
    </row>
    <row r="523" customFormat="false" ht="15" hidden="false" customHeight="false" outlineLevel="0" collapsed="false">
      <c r="A523" s="3" t="n">
        <v>30002325</v>
      </c>
      <c r="B523" s="3" t="s">
        <v>272</v>
      </c>
      <c r="C523" s="3" t="s">
        <v>453</v>
      </c>
      <c r="D523" s="23" t="n">
        <v>450</v>
      </c>
      <c r="E523" s="23" t="n">
        <v>600</v>
      </c>
      <c r="F523" s="23" t="n">
        <f aca="false">D523-E523</f>
        <v>-150</v>
      </c>
      <c r="G523" s="24" t="n">
        <f aca="false">IF(E523&gt;0,D523/E523-1,"")</f>
        <v>-0.25</v>
      </c>
      <c r="H523" s="3" t="str">
        <f aca="false">IF(MAX(D523,E523)&lt;Parametros!$B$16,"",IF(E523=0,"PIDE SIN FCST",IF(ABS(G523)&gt;Parametros!$B$14,IF(G523&gt;0,"SOBRE FCST","BAJO FCST"),"")))</f>
        <v/>
      </c>
    </row>
    <row r="524" customFormat="false" ht="15" hidden="false" customHeight="false" outlineLevel="0" collapsed="false">
      <c r="A524" s="3" t="n">
        <v>30002291</v>
      </c>
      <c r="B524" s="3" t="s">
        <v>268</v>
      </c>
      <c r="C524" s="3" t="s">
        <v>453</v>
      </c>
      <c r="D524" s="23" t="n">
        <v>450</v>
      </c>
      <c r="E524" s="23" t="n">
        <v>600</v>
      </c>
      <c r="F524" s="23" t="n">
        <f aca="false">D524-E524</f>
        <v>-150</v>
      </c>
      <c r="G524" s="24" t="n">
        <f aca="false">IF(E524&gt;0,D524/E524-1,"")</f>
        <v>-0.25</v>
      </c>
      <c r="H524" s="3" t="str">
        <f aca="false">IF(MAX(D524,E524)&lt;Parametros!$B$16,"",IF(E524=0,"PIDE SIN FCST",IF(ABS(G524)&gt;Parametros!$B$14,IF(G524&gt;0,"SOBRE FCST","BAJO FCST"),"")))</f>
        <v/>
      </c>
    </row>
    <row r="525" customFormat="false" ht="15" hidden="false" customHeight="false" outlineLevel="0" collapsed="false">
      <c r="A525" s="3" t="n">
        <v>30001665</v>
      </c>
      <c r="B525" s="3" t="s">
        <v>285</v>
      </c>
      <c r="C525" s="3" t="s">
        <v>454</v>
      </c>
      <c r="D525" s="23" t="n">
        <v>400</v>
      </c>
      <c r="E525" s="23" t="n">
        <v>550</v>
      </c>
      <c r="F525" s="23" t="n">
        <f aca="false">D525-E525</f>
        <v>-150</v>
      </c>
      <c r="G525" s="24" t="n">
        <f aca="false">IF(E525&gt;0,D525/E525-1,"")</f>
        <v>-0.272727272727273</v>
      </c>
      <c r="H525" s="3" t="str">
        <f aca="false">IF(MAX(D525,E525)&lt;Parametros!$B$16,"",IF(E525=0,"PIDE SIN FCST",IF(ABS(G525)&gt;Parametros!$B$14,IF(G525&gt;0,"SOBRE FCST","BAJO FCST"),"")))</f>
        <v/>
      </c>
    </row>
    <row r="526" customFormat="false" ht="15" hidden="false" customHeight="false" outlineLevel="0" collapsed="false">
      <c r="A526" s="3" t="n">
        <v>30001882</v>
      </c>
      <c r="B526" s="3" t="s">
        <v>243</v>
      </c>
      <c r="C526" s="3" t="s">
        <v>447</v>
      </c>
      <c r="D526" s="23" t="n">
        <v>924</v>
      </c>
      <c r="E526" s="23" t="n">
        <v>1069.74783174328</v>
      </c>
      <c r="F526" s="23" t="n">
        <f aca="false">D526-E526</f>
        <v>-145.747831743278</v>
      </c>
      <c r="G526" s="24" t="n">
        <f aca="false">IF(E526&gt;0,D526/E526-1,"")</f>
        <v>-0.136245035903242</v>
      </c>
      <c r="H526" s="3" t="str">
        <f aca="false">IF(MAX(D526,E526)&lt;Parametros!$B$16,"",IF(E526=0,"PIDE SIN FCST",IF(ABS(G526)&gt;Parametros!$B$14,IF(G526&gt;0,"SOBRE FCST","BAJO FCST"),"")))</f>
        <v/>
      </c>
    </row>
    <row r="527" customFormat="false" ht="15" hidden="false" customHeight="false" outlineLevel="0" collapsed="false">
      <c r="A527" s="3" t="n">
        <v>30001487</v>
      </c>
      <c r="B527" s="3" t="s">
        <v>238</v>
      </c>
      <c r="C527" s="3" t="s">
        <v>448</v>
      </c>
      <c r="D527" s="23" t="n">
        <v>1440</v>
      </c>
      <c r="E527" s="23" t="n">
        <v>1584.075</v>
      </c>
      <c r="F527" s="23" t="n">
        <f aca="false">D527-E527</f>
        <v>-144.075</v>
      </c>
      <c r="G527" s="24" t="n">
        <f aca="false">IF(E527&gt;0,D527/E527-1,"")</f>
        <v>-0.0909521329482506</v>
      </c>
      <c r="H527" s="3" t="str">
        <f aca="false">IF(MAX(D527,E527)&lt;Parametros!$B$16,"",IF(E527=0,"PIDE SIN FCST",IF(ABS(G527)&gt;Parametros!$B$14,IF(G527&gt;0,"SOBRE FCST","BAJO FCST"),"")))</f>
        <v/>
      </c>
    </row>
    <row r="528" customFormat="false" ht="15" hidden="false" customHeight="false" outlineLevel="0" collapsed="false">
      <c r="A528" s="3" t="n">
        <v>30002066</v>
      </c>
      <c r="B528" s="3" t="s">
        <v>203</v>
      </c>
      <c r="C528" s="3" t="s">
        <v>447</v>
      </c>
      <c r="D528" s="23" t="n">
        <v>192</v>
      </c>
      <c r="E528" s="23" t="n">
        <v>334.753619246862</v>
      </c>
      <c r="F528" s="23" t="n">
        <f aca="false">D528-E528</f>
        <v>-142.753619246862</v>
      </c>
      <c r="G528" s="24" t="n">
        <f aca="false">IF(E528&gt;0,D528/E528-1,"")</f>
        <v>-0.426443841198888</v>
      </c>
      <c r="H528" s="3" t="str">
        <f aca="false">IF(MAX(D528,E528)&lt;Parametros!$B$16,"",IF(E528=0,"PIDE SIN FCST",IF(ABS(G528)&gt;Parametros!$B$14,IF(G528&gt;0,"SOBRE FCST","BAJO FCST"),"")))</f>
        <v/>
      </c>
    </row>
    <row r="529" customFormat="false" ht="15" hidden="false" customHeight="false" outlineLevel="0" collapsed="false">
      <c r="A529" s="3" t="n">
        <v>30001980</v>
      </c>
      <c r="B529" s="3" t="s">
        <v>247</v>
      </c>
      <c r="C529" s="3" t="s">
        <v>453</v>
      </c>
      <c r="D529" s="23" t="n">
        <v>1840.5</v>
      </c>
      <c r="E529" s="23" t="n">
        <v>1700</v>
      </c>
      <c r="F529" s="23" t="n">
        <f aca="false">D529-E529</f>
        <v>140.5</v>
      </c>
      <c r="G529" s="24" t="n">
        <f aca="false">IF(E529&gt;0,D529/E529-1,"")</f>
        <v>0.0826470588235295</v>
      </c>
      <c r="H529" s="3" t="str">
        <f aca="false">IF(MAX(D529,E529)&lt;Parametros!$B$16,"",IF(E529=0,"PIDE SIN FCST",IF(ABS(G529)&gt;Parametros!$B$14,IF(G529&gt;0,"SOBRE FCST","BAJO FCST"),"")))</f>
        <v/>
      </c>
    </row>
    <row r="530" customFormat="false" ht="15" hidden="false" customHeight="false" outlineLevel="0" collapsed="false">
      <c r="A530" s="3" t="n">
        <v>30002269</v>
      </c>
      <c r="B530" s="3" t="s">
        <v>281</v>
      </c>
      <c r="C530" s="3" t="s">
        <v>455</v>
      </c>
      <c r="D530" s="23" t="n">
        <v>1428</v>
      </c>
      <c r="E530" s="23" t="n">
        <v>1564.5</v>
      </c>
      <c r="F530" s="23" t="n">
        <f aca="false">D530-E530</f>
        <v>-136.5</v>
      </c>
      <c r="G530" s="24" t="n">
        <f aca="false">IF(E530&gt;0,D530/E530-1,"")</f>
        <v>-0.087248322147651</v>
      </c>
      <c r="H530" s="3" t="str">
        <f aca="false">IF(MAX(D530,E530)&lt;Parametros!$B$16,"",IF(E530=0,"PIDE SIN FCST",IF(ABS(G530)&gt;Parametros!$B$14,IF(G530&gt;0,"SOBRE FCST","BAJO FCST"),"")))</f>
        <v/>
      </c>
    </row>
    <row r="531" customFormat="false" ht="15" hidden="false" customHeight="false" outlineLevel="0" collapsed="false">
      <c r="A531" s="3" t="n">
        <v>30001977</v>
      </c>
      <c r="B531" s="3" t="s">
        <v>220</v>
      </c>
      <c r="C531" s="3" t="s">
        <v>451</v>
      </c>
      <c r="D531" s="23" t="n">
        <v>132</v>
      </c>
      <c r="E531" s="23" t="n">
        <v>0</v>
      </c>
      <c r="F531" s="23" t="n">
        <f aca="false">D531-E531</f>
        <v>132</v>
      </c>
      <c r="G531" s="24" t="str">
        <f aca="false">IF(E531&gt;0,D531/E531-1,"")</f>
        <v/>
      </c>
      <c r="H531" s="3" t="str">
        <f aca="false">IF(MAX(D531,E531)&lt;Parametros!$B$16,"",IF(E531=0,"PIDE SIN FCST",IF(ABS(G531)&gt;Parametros!$B$14,IF(G531&gt;0,"SOBRE FCST","BAJO FCST"),"")))</f>
        <v/>
      </c>
    </row>
    <row r="532" customFormat="false" ht="15" hidden="false" customHeight="false" outlineLevel="0" collapsed="false">
      <c r="A532" s="3" t="n">
        <v>30001976</v>
      </c>
      <c r="B532" s="3" t="s">
        <v>263</v>
      </c>
      <c r="C532" s="3" t="s">
        <v>448</v>
      </c>
      <c r="D532" s="23" t="n">
        <v>408</v>
      </c>
      <c r="E532" s="23" t="n">
        <v>539.208333333333</v>
      </c>
      <c r="F532" s="23" t="n">
        <f aca="false">D532-E532</f>
        <v>-131.208333333333</v>
      </c>
      <c r="G532" s="24" t="n">
        <f aca="false">IF(E532&gt;0,D532/E532-1,"")</f>
        <v>-0.243335136388224</v>
      </c>
      <c r="H532" s="3" t="str">
        <f aca="false">IF(MAX(D532,E532)&lt;Parametros!$B$16,"",IF(E532=0,"PIDE SIN FCST",IF(ABS(G532)&gt;Parametros!$B$14,IF(G532&gt;0,"SOBRE FCST","BAJO FCST"),"")))</f>
        <v/>
      </c>
    </row>
    <row r="533" customFormat="false" ht="15" hidden="false" customHeight="false" outlineLevel="0" collapsed="false">
      <c r="A533" s="3" t="n">
        <v>30001973</v>
      </c>
      <c r="B533" s="3" t="s">
        <v>316</v>
      </c>
      <c r="C533" s="3" t="s">
        <v>448</v>
      </c>
      <c r="D533" s="23" t="n">
        <v>0</v>
      </c>
      <c r="E533" s="23" t="n">
        <v>127.791666666667</v>
      </c>
      <c r="F533" s="23" t="n">
        <f aca="false">D533-E533</f>
        <v>-127.791666666667</v>
      </c>
      <c r="G533" s="24" t="n">
        <f aca="false">IF(E533&gt;0,D533/E533-1,"")</f>
        <v>-1</v>
      </c>
      <c r="H533" s="3" t="str">
        <f aca="false">IF(MAX(D533,E533)&lt;Parametros!$B$16,"",IF(E533=0,"PIDE SIN FCST",IF(ABS(G533)&gt;Parametros!$B$14,IF(G533&gt;0,"SOBRE FCST","BAJO FCST"),"")))</f>
        <v/>
      </c>
    </row>
    <row r="534" customFormat="false" ht="15" hidden="false" customHeight="false" outlineLevel="0" collapsed="false">
      <c r="A534" s="3" t="n">
        <v>30000421</v>
      </c>
      <c r="B534" s="3" t="s">
        <v>267</v>
      </c>
      <c r="C534" s="3" t="s">
        <v>453</v>
      </c>
      <c r="D534" s="23" t="n">
        <v>1104</v>
      </c>
      <c r="E534" s="23" t="n">
        <v>977.350545454546</v>
      </c>
      <c r="F534" s="23" t="n">
        <f aca="false">D534-E534</f>
        <v>126.649454545455</v>
      </c>
      <c r="G534" s="24" t="n">
        <f aca="false">IF(E534&gt;0,D534/E534-1,"")</f>
        <v>0.12958447215738</v>
      </c>
      <c r="H534" s="3" t="str">
        <f aca="false">IF(MAX(D534,E534)&lt;Parametros!$B$16,"",IF(E534=0,"PIDE SIN FCST",IF(ABS(G534)&gt;Parametros!$B$14,IF(G534&gt;0,"SOBRE FCST","BAJO FCST"),"")))</f>
        <v/>
      </c>
    </row>
    <row r="535" customFormat="false" ht="15" hidden="false" customHeight="false" outlineLevel="0" collapsed="false">
      <c r="A535" s="3" t="n">
        <v>30002291</v>
      </c>
      <c r="B535" s="3" t="s">
        <v>268</v>
      </c>
      <c r="C535" s="3" t="s">
        <v>448</v>
      </c>
      <c r="D535" s="23" t="n">
        <v>1305</v>
      </c>
      <c r="E535" s="23" t="n">
        <v>1431.33333333333</v>
      </c>
      <c r="F535" s="23" t="n">
        <f aca="false">D535-E535</f>
        <v>-126.333333333333</v>
      </c>
      <c r="G535" s="24" t="n">
        <f aca="false">IF(E535&gt;0,D535/E535-1,"")</f>
        <v>-0.0882626921285513</v>
      </c>
      <c r="H535" s="3" t="str">
        <f aca="false">IF(MAX(D535,E535)&lt;Parametros!$B$16,"",IF(E535=0,"PIDE SIN FCST",IF(ABS(G535)&gt;Parametros!$B$14,IF(G535&gt;0,"SOBRE FCST","BAJO FCST"),"")))</f>
        <v/>
      </c>
    </row>
    <row r="536" customFormat="false" ht="15" hidden="false" customHeight="false" outlineLevel="0" collapsed="false">
      <c r="A536" s="3" t="n">
        <v>30000257</v>
      </c>
      <c r="B536" s="3" t="s">
        <v>197</v>
      </c>
      <c r="C536" s="3" t="s">
        <v>451</v>
      </c>
      <c r="D536" s="23" t="n">
        <v>126</v>
      </c>
      <c r="E536" s="23" t="n">
        <v>0</v>
      </c>
      <c r="F536" s="23" t="n">
        <f aca="false">D536-E536</f>
        <v>126</v>
      </c>
      <c r="G536" s="24" t="str">
        <f aca="false">IF(E536&gt;0,D536/E536-1,"")</f>
        <v/>
      </c>
      <c r="H536" s="3" t="str">
        <f aca="false">IF(MAX(D536,E536)&lt;Parametros!$B$16,"",IF(E536=0,"PIDE SIN FCST",IF(ABS(G536)&gt;Parametros!$B$14,IF(G536&gt;0,"SOBRE FCST","BAJO FCST"),"")))</f>
        <v/>
      </c>
    </row>
    <row r="537" customFormat="false" ht="15" hidden="false" customHeight="false" outlineLevel="0" collapsed="false">
      <c r="A537" s="3" t="n">
        <v>30001410</v>
      </c>
      <c r="B537" s="3" t="s">
        <v>229</v>
      </c>
      <c r="C537" s="3" t="s">
        <v>452</v>
      </c>
      <c r="D537" s="23" t="n">
        <v>768.96</v>
      </c>
      <c r="E537" s="23" t="n">
        <v>894.4409946378</v>
      </c>
      <c r="F537" s="23" t="n">
        <f aca="false">D537-E537</f>
        <v>-125.4809946378</v>
      </c>
      <c r="G537" s="24" t="n">
        <f aca="false">IF(E537&gt;0,D537/E537-1,"")</f>
        <v>-0.140289851862853</v>
      </c>
      <c r="H537" s="3" t="str">
        <f aca="false">IF(MAX(D537,E537)&lt;Parametros!$B$16,"",IF(E537=0,"PIDE SIN FCST",IF(ABS(G537)&gt;Parametros!$B$14,IF(G537&gt;0,"SOBRE FCST","BAJO FCST"),"")))</f>
        <v/>
      </c>
    </row>
    <row r="538" customFormat="false" ht="15" hidden="false" customHeight="false" outlineLevel="0" collapsed="false">
      <c r="A538" s="3" t="n">
        <v>30000421</v>
      </c>
      <c r="B538" s="3" t="s">
        <v>267</v>
      </c>
      <c r="C538" s="3" t="s">
        <v>452</v>
      </c>
      <c r="D538" s="23" t="n">
        <v>588</v>
      </c>
      <c r="E538" s="23" t="n">
        <v>713.301670564978</v>
      </c>
      <c r="F538" s="23" t="n">
        <f aca="false">D538-E538</f>
        <v>-125.301670564978</v>
      </c>
      <c r="G538" s="24" t="n">
        <f aca="false">IF(E538&gt;0,D538/E538-1,"")</f>
        <v>-0.175664344744533</v>
      </c>
      <c r="H538" s="3" t="str">
        <f aca="false">IF(MAX(D538,E538)&lt;Parametros!$B$16,"",IF(E538=0,"PIDE SIN FCST",IF(ABS(G538)&gt;Parametros!$B$14,IF(G538&gt;0,"SOBRE FCST","BAJO FCST"),"")))</f>
        <v/>
      </c>
    </row>
    <row r="539" customFormat="false" ht="15" hidden="false" customHeight="false" outlineLevel="0" collapsed="false">
      <c r="A539" s="3" t="n">
        <v>30001895</v>
      </c>
      <c r="B539" s="3" t="s">
        <v>234</v>
      </c>
      <c r="C539" s="3" t="s">
        <v>454</v>
      </c>
      <c r="D539" s="23" t="n">
        <v>1824</v>
      </c>
      <c r="E539" s="23" t="n">
        <v>1700</v>
      </c>
      <c r="F539" s="23" t="n">
        <f aca="false">D539-E539</f>
        <v>124</v>
      </c>
      <c r="G539" s="24" t="n">
        <f aca="false">IF(E539&gt;0,D539/E539-1,"")</f>
        <v>0.0729411764705883</v>
      </c>
      <c r="H539" s="3" t="str">
        <f aca="false">IF(MAX(D539,E539)&lt;Parametros!$B$16,"",IF(E539=0,"PIDE SIN FCST",IF(ABS(G539)&gt;Parametros!$B$14,IF(G539&gt;0,"SOBRE FCST","BAJO FCST"),"")))</f>
        <v/>
      </c>
    </row>
    <row r="540" customFormat="false" ht="15" hidden="false" customHeight="false" outlineLevel="0" collapsed="false">
      <c r="A540" s="3" t="n">
        <v>30002273</v>
      </c>
      <c r="B540" s="3" t="s">
        <v>273</v>
      </c>
      <c r="C540" s="3" t="s">
        <v>452</v>
      </c>
      <c r="D540" s="23" t="n">
        <v>230.4</v>
      </c>
      <c r="E540" s="23" t="n">
        <v>351.935834961057</v>
      </c>
      <c r="F540" s="23" t="n">
        <f aca="false">D540-E540</f>
        <v>-121.535834961057</v>
      </c>
      <c r="G540" s="24" t="n">
        <f aca="false">IF(E540&gt;0,D540/E540-1,"")</f>
        <v>-0.345335208545914</v>
      </c>
      <c r="H540" s="3" t="str">
        <f aca="false">IF(MAX(D540,E540)&lt;Parametros!$B$16,"",IF(E540=0,"PIDE SIN FCST",IF(ABS(G540)&gt;Parametros!$B$14,IF(G540&gt;0,"SOBRE FCST","BAJO FCST"),"")))</f>
        <v/>
      </c>
    </row>
    <row r="541" customFormat="false" ht="15" hidden="false" customHeight="false" outlineLevel="0" collapsed="false">
      <c r="A541" s="3" t="n">
        <v>30000256</v>
      </c>
      <c r="B541" s="3" t="s">
        <v>195</v>
      </c>
      <c r="C541" s="3" t="s">
        <v>451</v>
      </c>
      <c r="D541" s="23" t="n">
        <v>120</v>
      </c>
      <c r="E541" s="23" t="n">
        <v>0</v>
      </c>
      <c r="F541" s="23" t="n">
        <f aca="false">D541-E541</f>
        <v>120</v>
      </c>
      <c r="G541" s="24" t="str">
        <f aca="false">IF(E541&gt;0,D541/E541-1,"")</f>
        <v/>
      </c>
      <c r="H541" s="3" t="str">
        <f aca="false">IF(MAX(D541,E541)&lt;Parametros!$B$16,"",IF(E541=0,"PIDE SIN FCST",IF(ABS(G541)&gt;Parametros!$B$14,IF(G541&gt;0,"SOBRE FCST","BAJO FCST"),"")))</f>
        <v/>
      </c>
    </row>
    <row r="542" customFormat="false" ht="15" hidden="false" customHeight="false" outlineLevel="0" collapsed="false">
      <c r="A542" s="3" t="n">
        <v>30002284</v>
      </c>
      <c r="B542" s="3" t="s">
        <v>298</v>
      </c>
      <c r="C542" s="3" t="s">
        <v>448</v>
      </c>
      <c r="D542" s="23" t="n">
        <v>785.4</v>
      </c>
      <c r="E542" s="23" t="n">
        <v>904.095</v>
      </c>
      <c r="F542" s="23" t="n">
        <f aca="false">D542-E542</f>
        <v>-118.695</v>
      </c>
      <c r="G542" s="24" t="n">
        <f aca="false">IF(E542&gt;0,D542/E542-1,"")</f>
        <v>-0.131285982114712</v>
      </c>
      <c r="H542" s="3" t="str">
        <f aca="false">IF(MAX(D542,E542)&lt;Parametros!$B$16,"",IF(E542=0,"PIDE SIN FCST",IF(ABS(G542)&gt;Parametros!$B$14,IF(G542&gt;0,"SOBRE FCST","BAJO FCST"),"")))</f>
        <v/>
      </c>
    </row>
    <row r="543" customFormat="false" ht="15" hidden="false" customHeight="false" outlineLevel="0" collapsed="false">
      <c r="A543" s="3" t="n">
        <v>30002273</v>
      </c>
      <c r="B543" s="3" t="s">
        <v>273</v>
      </c>
      <c r="C543" s="3" t="s">
        <v>450</v>
      </c>
      <c r="D543" s="23" t="n">
        <v>1814.4</v>
      </c>
      <c r="E543" s="23" t="n">
        <v>1700</v>
      </c>
      <c r="F543" s="23" t="n">
        <f aca="false">D543-E543</f>
        <v>114.4</v>
      </c>
      <c r="G543" s="24" t="n">
        <f aca="false">IF(E543&gt;0,D543/E543-1,"")</f>
        <v>0.067294117647059</v>
      </c>
      <c r="H543" s="3" t="str">
        <f aca="false">IF(MAX(D543,E543)&lt;Parametros!$B$16,"",IF(E543=0,"PIDE SIN FCST",IF(ABS(G543)&gt;Parametros!$B$14,IF(G543&gt;0,"SOBRE FCST","BAJO FCST"),"")))</f>
        <v/>
      </c>
    </row>
    <row r="544" customFormat="false" ht="15" hidden="false" customHeight="false" outlineLevel="0" collapsed="false">
      <c r="A544" s="3" t="n">
        <v>30000309</v>
      </c>
      <c r="B544" s="3" t="s">
        <v>200</v>
      </c>
      <c r="C544" s="3" t="s">
        <v>455</v>
      </c>
      <c r="D544" s="23" t="n">
        <v>49248</v>
      </c>
      <c r="E544" s="23" t="n">
        <v>49134.5</v>
      </c>
      <c r="F544" s="23" t="n">
        <f aca="false">D544-E544</f>
        <v>113.5</v>
      </c>
      <c r="G544" s="24" t="n">
        <f aca="false">IF(E544&gt;0,D544/E544-1,"")</f>
        <v>0.00230998585515274</v>
      </c>
      <c r="H544" s="3" t="str">
        <f aca="false">IF(MAX(D544,E544)&lt;Parametros!$B$16,"",IF(E544=0,"PIDE SIN FCST",IF(ABS(G544)&gt;Parametros!$B$14,IF(G544&gt;0,"SOBRE FCST","BAJO FCST"),"")))</f>
        <v/>
      </c>
    </row>
    <row r="545" customFormat="false" ht="15" hidden="false" customHeight="false" outlineLevel="0" collapsed="false">
      <c r="A545" s="3" t="n">
        <v>30002125</v>
      </c>
      <c r="B545" s="3" t="s">
        <v>262</v>
      </c>
      <c r="C545" s="3" t="s">
        <v>453</v>
      </c>
      <c r="D545" s="23" t="n">
        <v>258.4</v>
      </c>
      <c r="E545" s="23" t="n">
        <v>370.48025</v>
      </c>
      <c r="F545" s="23" t="n">
        <f aca="false">D545-E545</f>
        <v>-112.08025</v>
      </c>
      <c r="G545" s="24" t="n">
        <f aca="false">IF(E545&gt;0,D545/E545-1,"")</f>
        <v>-0.302526922825171</v>
      </c>
      <c r="H545" s="3" t="str">
        <f aca="false">IF(MAX(D545,E545)&lt;Parametros!$B$16,"",IF(E545=0,"PIDE SIN FCST",IF(ABS(G545)&gt;Parametros!$B$14,IF(G545&gt;0,"SOBRE FCST","BAJO FCST"),"")))</f>
        <v/>
      </c>
    </row>
    <row r="546" customFormat="false" ht="15" hidden="false" customHeight="false" outlineLevel="0" collapsed="false">
      <c r="A546" s="3" t="n">
        <v>30000206</v>
      </c>
      <c r="B546" s="3" t="s">
        <v>218</v>
      </c>
      <c r="C546" s="3" t="s">
        <v>454</v>
      </c>
      <c r="D546" s="23" t="n">
        <v>4320</v>
      </c>
      <c r="E546" s="23" t="n">
        <v>4209.2392</v>
      </c>
      <c r="F546" s="23" t="n">
        <f aca="false">D546-E546</f>
        <v>110.760799999999</v>
      </c>
      <c r="G546" s="24" t="n">
        <f aca="false">IF(E546&gt;0,D546/E546-1,"")</f>
        <v>0.026313733845299</v>
      </c>
      <c r="H546" s="3" t="str">
        <f aca="false">IF(MAX(D546,E546)&lt;Parametros!$B$16,"",IF(E546=0,"PIDE SIN FCST",IF(ABS(G546)&gt;Parametros!$B$14,IF(G546&gt;0,"SOBRE FCST","BAJO FCST"),"")))</f>
        <v/>
      </c>
    </row>
    <row r="547" customFormat="false" ht="15" hidden="false" customHeight="false" outlineLevel="0" collapsed="false">
      <c r="A547" s="3" t="n">
        <v>30001976</v>
      </c>
      <c r="B547" s="3" t="s">
        <v>263</v>
      </c>
      <c r="C547" s="3" t="s">
        <v>452</v>
      </c>
      <c r="D547" s="23" t="n">
        <v>324</v>
      </c>
      <c r="E547" s="23" t="n">
        <v>215.966836604574</v>
      </c>
      <c r="F547" s="23" t="n">
        <f aca="false">D547-E547</f>
        <v>108.033163395426</v>
      </c>
      <c r="G547" s="24" t="n">
        <f aca="false">IF(E547&gt;0,D547/E547-1,"")</f>
        <v>0.500230336721696</v>
      </c>
      <c r="H547" s="3" t="str">
        <f aca="false">IF(MAX(D547,E547)&lt;Parametros!$B$16,"",IF(E547=0,"PIDE SIN FCST",IF(ABS(G547)&gt;Parametros!$B$14,IF(G547&gt;0,"SOBRE FCST","BAJO FCST"),"")))</f>
        <v/>
      </c>
    </row>
    <row r="548" customFormat="false" ht="15" hidden="false" customHeight="false" outlineLevel="0" collapsed="false">
      <c r="A548" s="3" t="n">
        <v>30000516</v>
      </c>
      <c r="B548" s="3" t="s">
        <v>216</v>
      </c>
      <c r="C548" s="3" t="s">
        <v>451</v>
      </c>
      <c r="D548" s="23" t="n">
        <v>108</v>
      </c>
      <c r="E548" s="23" t="n">
        <v>0</v>
      </c>
      <c r="F548" s="23" t="n">
        <f aca="false">D548-E548</f>
        <v>108</v>
      </c>
      <c r="G548" s="24" t="str">
        <f aca="false">IF(E548&gt;0,D548/E548-1,"")</f>
        <v/>
      </c>
      <c r="H548" s="3" t="str">
        <f aca="false">IF(MAX(D548,E548)&lt;Parametros!$B$16,"",IF(E548=0,"PIDE SIN FCST",IF(ABS(G548)&gt;Parametros!$B$14,IF(G548&gt;0,"SOBRE FCST","BAJO FCST"),"")))</f>
        <v/>
      </c>
    </row>
    <row r="549" customFormat="false" ht="15" hidden="false" customHeight="false" outlineLevel="0" collapsed="false">
      <c r="A549" s="3" t="n">
        <v>30001980</v>
      </c>
      <c r="B549" s="3" t="s">
        <v>247</v>
      </c>
      <c r="C549" s="3" t="s">
        <v>452</v>
      </c>
      <c r="D549" s="23" t="n">
        <v>189</v>
      </c>
      <c r="E549" s="23" t="n">
        <v>292.324642116129</v>
      </c>
      <c r="F549" s="23" t="n">
        <f aca="false">D549-E549</f>
        <v>-103.324642116128</v>
      </c>
      <c r="G549" s="24" t="n">
        <f aca="false">IF(E549&gt;0,D549/E549-1,"")</f>
        <v>-0.353458543105244</v>
      </c>
      <c r="H549" s="3" t="str">
        <f aca="false">IF(MAX(D549,E549)&lt;Parametros!$B$16,"",IF(E549=0,"PIDE SIN FCST",IF(ABS(G549)&gt;Parametros!$B$14,IF(G549&gt;0,"SOBRE FCST","BAJO FCST"),"")))</f>
        <v/>
      </c>
    </row>
    <row r="550" customFormat="false" ht="15" hidden="false" customHeight="false" outlineLevel="0" collapsed="false">
      <c r="A550" s="3" t="n">
        <v>30001574</v>
      </c>
      <c r="B550" s="3" t="s">
        <v>239</v>
      </c>
      <c r="C550" s="3" t="s">
        <v>452</v>
      </c>
      <c r="D550" s="23" t="n">
        <v>996</v>
      </c>
      <c r="E550" s="23" t="n">
        <v>1097.84027206063</v>
      </c>
      <c r="F550" s="23" t="n">
        <f aca="false">D550-E550</f>
        <v>-101.840272060625</v>
      </c>
      <c r="G550" s="24" t="n">
        <f aca="false">IF(E550&gt;0,D550/E550-1,"")</f>
        <v>-0.0927641977183737</v>
      </c>
      <c r="H550" s="3" t="str">
        <f aca="false">IF(MAX(D550,E550)&lt;Parametros!$B$16,"",IF(E550=0,"PIDE SIN FCST",IF(ABS(G550)&gt;Parametros!$B$14,IF(G550&gt;0,"SOBRE FCST","BAJO FCST"),"")))</f>
        <v/>
      </c>
    </row>
    <row r="551" customFormat="false" ht="15" hidden="false" customHeight="false" outlineLevel="0" collapsed="false">
      <c r="A551" s="3" t="n">
        <v>30002276</v>
      </c>
      <c r="B551" s="3" t="s">
        <v>276</v>
      </c>
      <c r="C551" s="3" t="s">
        <v>450</v>
      </c>
      <c r="D551" s="23" t="n">
        <v>993.6</v>
      </c>
      <c r="E551" s="23" t="n">
        <v>894</v>
      </c>
      <c r="F551" s="23" t="n">
        <f aca="false">D551-E551</f>
        <v>99.6</v>
      </c>
      <c r="G551" s="24" t="n">
        <f aca="false">IF(E551&gt;0,D551/E551-1,"")</f>
        <v>0.111409395973154</v>
      </c>
      <c r="H551" s="3" t="str">
        <f aca="false">IF(MAX(D551,E551)&lt;Parametros!$B$16,"",IF(E551=0,"PIDE SIN FCST",IF(ABS(G551)&gt;Parametros!$B$14,IF(G551&gt;0,"SOBRE FCST","BAJO FCST"),"")))</f>
        <v/>
      </c>
    </row>
    <row r="552" customFormat="false" ht="15" hidden="false" customHeight="false" outlineLevel="0" collapsed="false">
      <c r="A552" s="3" t="n">
        <v>30002269</v>
      </c>
      <c r="B552" s="3" t="s">
        <v>281</v>
      </c>
      <c r="C552" s="3" t="s">
        <v>453</v>
      </c>
      <c r="D552" s="23" t="n">
        <v>84</v>
      </c>
      <c r="E552" s="23" t="n">
        <v>182.12525</v>
      </c>
      <c r="F552" s="23" t="n">
        <f aca="false">D552-E552</f>
        <v>-98.12525</v>
      </c>
      <c r="G552" s="24" t="n">
        <f aca="false">IF(E552&gt;0,D552/E552-1,"")</f>
        <v>-0.538778944709753</v>
      </c>
      <c r="H552" s="3" t="str">
        <f aca="false">IF(MAX(D552,E552)&lt;Parametros!$B$16,"",IF(E552=0,"PIDE SIN FCST",IF(ABS(G552)&gt;Parametros!$B$14,IF(G552&gt;0,"SOBRE FCST","BAJO FCST"),"")))</f>
        <v/>
      </c>
    </row>
    <row r="553" customFormat="false" ht="15" hidden="false" customHeight="false" outlineLevel="0" collapsed="false">
      <c r="A553" s="3" t="n">
        <v>30001149</v>
      </c>
      <c r="B553" s="3" t="s">
        <v>279</v>
      </c>
      <c r="C553" s="3" t="s">
        <v>450</v>
      </c>
      <c r="D553" s="23" t="n">
        <v>1098</v>
      </c>
      <c r="E553" s="23" t="n">
        <v>1000.17268552145</v>
      </c>
      <c r="F553" s="23" t="n">
        <f aca="false">D553-E553</f>
        <v>97.827314478551</v>
      </c>
      <c r="G553" s="24" t="n">
        <f aca="false">IF(E553&gt;0,D553/E553-1,"")</f>
        <v>0.0978104240344735</v>
      </c>
      <c r="H553" s="3" t="str">
        <f aca="false">IF(MAX(D553,E553)&lt;Parametros!$B$16,"",IF(E553=0,"PIDE SIN FCST",IF(ABS(G553)&gt;Parametros!$B$14,IF(G553&gt;0,"SOBRE FCST","BAJO FCST"),"")))</f>
        <v/>
      </c>
    </row>
    <row r="554" customFormat="false" ht="15" hidden="false" customHeight="false" outlineLevel="0" collapsed="false">
      <c r="A554" s="3" t="n">
        <v>30001895</v>
      </c>
      <c r="B554" s="3" t="s">
        <v>234</v>
      </c>
      <c r="C554" s="3" t="s">
        <v>453</v>
      </c>
      <c r="D554" s="23" t="n">
        <v>1216</v>
      </c>
      <c r="E554" s="23" t="n">
        <v>1119.12648861268</v>
      </c>
      <c r="F554" s="23" t="n">
        <f aca="false">D554-E554</f>
        <v>96.8735113873199</v>
      </c>
      <c r="G554" s="24" t="n">
        <f aca="false">IF(E554&gt;0,D554/E554-1,"")</f>
        <v>0.0865617178871432</v>
      </c>
      <c r="H554" s="3" t="str">
        <f aca="false">IF(MAX(D554,E554)&lt;Parametros!$B$16,"",IF(E554=0,"PIDE SIN FCST",IF(ABS(G554)&gt;Parametros!$B$14,IF(G554&gt;0,"SOBRE FCST","BAJO FCST"),"")))</f>
        <v/>
      </c>
    </row>
    <row r="555" customFormat="false" ht="15" hidden="false" customHeight="false" outlineLevel="0" collapsed="false">
      <c r="A555" s="3" t="n">
        <v>30000248</v>
      </c>
      <c r="B555" s="3" t="s">
        <v>264</v>
      </c>
      <c r="C555" s="3" t="s">
        <v>451</v>
      </c>
      <c r="D555" s="23" t="n">
        <v>0</v>
      </c>
      <c r="E555" s="23" t="n">
        <v>96</v>
      </c>
      <c r="F555" s="23" t="n">
        <f aca="false">D555-E555</f>
        <v>-96</v>
      </c>
      <c r="G555" s="24" t="n">
        <f aca="false">IF(E555&gt;0,D555/E555-1,"")</f>
        <v>-1</v>
      </c>
      <c r="H555" s="3" t="str">
        <f aca="false">IF(MAX(D555,E555)&lt;Parametros!$B$16,"",IF(E555=0,"PIDE SIN FCST",IF(ABS(G555)&gt;Parametros!$B$14,IF(G555&gt;0,"SOBRE FCST","BAJO FCST"),"")))</f>
        <v/>
      </c>
    </row>
    <row r="556" customFormat="false" ht="15" hidden="false" customHeight="false" outlineLevel="0" collapsed="false">
      <c r="A556" s="3" t="n">
        <v>30002274</v>
      </c>
      <c r="B556" s="3" t="s">
        <v>287</v>
      </c>
      <c r="C556" s="3" t="s">
        <v>452</v>
      </c>
      <c r="D556" s="23" t="n">
        <v>299.7</v>
      </c>
      <c r="E556" s="23" t="n">
        <v>393.327619926994</v>
      </c>
      <c r="F556" s="23" t="n">
        <f aca="false">D556-E556</f>
        <v>-93.6276199269938</v>
      </c>
      <c r="G556" s="24" t="n">
        <f aca="false">IF(E556&gt;0,D556/E556-1,"")</f>
        <v>-0.238039779521134</v>
      </c>
      <c r="H556" s="3" t="str">
        <f aca="false">IF(MAX(D556,E556)&lt;Parametros!$B$16,"",IF(E556=0,"PIDE SIN FCST",IF(ABS(G556)&gt;Parametros!$B$14,IF(G556&gt;0,"SOBRE FCST","BAJO FCST"),"")))</f>
        <v/>
      </c>
    </row>
    <row r="557" customFormat="false" ht="15" hidden="false" customHeight="false" outlineLevel="0" collapsed="false">
      <c r="A557" s="3" t="n">
        <v>30002330</v>
      </c>
      <c r="B557" s="3" t="s">
        <v>215</v>
      </c>
      <c r="C557" s="3" t="s">
        <v>451</v>
      </c>
      <c r="D557" s="23" t="n">
        <v>90</v>
      </c>
      <c r="E557" s="23" t="n">
        <v>0</v>
      </c>
      <c r="F557" s="23" t="n">
        <f aca="false">D557-E557</f>
        <v>90</v>
      </c>
      <c r="G557" s="24" t="str">
        <f aca="false">IF(E557&gt;0,D557/E557-1,"")</f>
        <v/>
      </c>
      <c r="H557" s="3" t="str">
        <f aca="false">IF(MAX(D557,E557)&lt;Parametros!$B$16,"",IF(E557=0,"PIDE SIN FCST",IF(ABS(G557)&gt;Parametros!$B$14,IF(G557&gt;0,"SOBRE FCST","BAJO FCST"),"")))</f>
        <v/>
      </c>
    </row>
    <row r="558" customFormat="false" ht="15" hidden="false" customHeight="false" outlineLevel="0" collapsed="false">
      <c r="A558" s="3" t="n">
        <v>30002066</v>
      </c>
      <c r="B558" s="3" t="s">
        <v>203</v>
      </c>
      <c r="C558" s="3" t="s">
        <v>453</v>
      </c>
      <c r="D558" s="23" t="n">
        <v>1260</v>
      </c>
      <c r="E558" s="23" t="n">
        <v>1170.86388942215</v>
      </c>
      <c r="F558" s="23" t="n">
        <f aca="false">D558-E558</f>
        <v>89.136110577846</v>
      </c>
      <c r="G558" s="24" t="n">
        <f aca="false">IF(E558&gt;0,D558/E558-1,"")</f>
        <v>0.0761284991219915</v>
      </c>
      <c r="H558" s="3" t="str">
        <f aca="false">IF(MAX(D558,E558)&lt;Parametros!$B$16,"",IF(E558=0,"PIDE SIN FCST",IF(ABS(G558)&gt;Parametros!$B$14,IF(G558&gt;0,"SOBRE FCST","BAJO FCST"),"")))</f>
        <v/>
      </c>
    </row>
    <row r="559" customFormat="false" ht="15" hidden="false" customHeight="false" outlineLevel="0" collapsed="false">
      <c r="A559" s="3" t="n">
        <v>30000355</v>
      </c>
      <c r="B559" s="3" t="s">
        <v>290</v>
      </c>
      <c r="C559" s="3" t="s">
        <v>455</v>
      </c>
      <c r="D559" s="23" t="n">
        <v>0</v>
      </c>
      <c r="E559" s="23" t="n">
        <v>86.2845150362159</v>
      </c>
      <c r="F559" s="23" t="n">
        <f aca="false">D559-E559</f>
        <v>-86.2845150362159</v>
      </c>
      <c r="G559" s="24" t="n">
        <f aca="false">IF(E559&gt;0,D559/E559-1,"")</f>
        <v>-1</v>
      </c>
      <c r="H559" s="3" t="str">
        <f aca="false">IF(MAX(D559,E559)&lt;Parametros!$B$16,"",IF(E559=0,"PIDE SIN FCST",IF(ABS(G559)&gt;Parametros!$B$14,IF(G559&gt;0,"SOBRE FCST","BAJO FCST"),"")))</f>
        <v/>
      </c>
    </row>
    <row r="560" customFormat="false" ht="15" hidden="false" customHeight="false" outlineLevel="0" collapsed="false">
      <c r="A560" s="3" t="n">
        <v>30002065</v>
      </c>
      <c r="B560" s="3" t="s">
        <v>225</v>
      </c>
      <c r="C560" s="3" t="s">
        <v>454</v>
      </c>
      <c r="D560" s="23" t="n">
        <v>612</v>
      </c>
      <c r="E560" s="23" t="n">
        <v>696.55</v>
      </c>
      <c r="F560" s="23" t="n">
        <f aca="false">D560-E560</f>
        <v>-84.5500000000001</v>
      </c>
      <c r="G560" s="24" t="n">
        <f aca="false">IF(E560&gt;0,D560/E560-1,"")</f>
        <v>-0.121383963821693</v>
      </c>
      <c r="H560" s="3" t="str">
        <f aca="false">IF(MAX(D560,E560)&lt;Parametros!$B$16,"",IF(E560=0,"PIDE SIN FCST",IF(ABS(G560)&gt;Parametros!$B$14,IF(G560&gt;0,"SOBRE FCST","BAJO FCST"),"")))</f>
        <v/>
      </c>
    </row>
    <row r="561" customFormat="false" ht="15" hidden="false" customHeight="false" outlineLevel="0" collapsed="false">
      <c r="A561" s="3" t="n">
        <v>30000514</v>
      </c>
      <c r="B561" s="3" t="s">
        <v>204</v>
      </c>
      <c r="C561" s="3" t="s">
        <v>451</v>
      </c>
      <c r="D561" s="23" t="n">
        <v>84</v>
      </c>
      <c r="E561" s="23" t="n">
        <v>0</v>
      </c>
      <c r="F561" s="23" t="n">
        <f aca="false">D561-E561</f>
        <v>84</v>
      </c>
      <c r="G561" s="24" t="str">
        <f aca="false">IF(E561&gt;0,D561/E561-1,"")</f>
        <v/>
      </c>
      <c r="H561" s="3" t="str">
        <f aca="false">IF(MAX(D561,E561)&lt;Parametros!$B$16,"",IF(E561=0,"PIDE SIN FCST",IF(ABS(G561)&gt;Parametros!$B$14,IF(G561&gt;0,"SOBRE FCST","BAJO FCST"),"")))</f>
        <v/>
      </c>
    </row>
    <row r="562" customFormat="false" ht="15" hidden="false" customHeight="false" outlineLevel="0" collapsed="false">
      <c r="A562" s="3" t="n">
        <v>30000354</v>
      </c>
      <c r="B562" s="3" t="s">
        <v>244</v>
      </c>
      <c r="C562" s="3" t="s">
        <v>454</v>
      </c>
      <c r="D562" s="23" t="n">
        <v>2016</v>
      </c>
      <c r="E562" s="23" t="n">
        <v>2100</v>
      </c>
      <c r="F562" s="23" t="n">
        <f aca="false">D562-E562</f>
        <v>-84</v>
      </c>
      <c r="G562" s="24" t="n">
        <f aca="false">IF(E562&gt;0,D562/E562-1,"")</f>
        <v>-0.04</v>
      </c>
      <c r="H562" s="3" t="str">
        <f aca="false">IF(MAX(D562,E562)&lt;Parametros!$B$16,"",IF(E562=0,"PIDE SIN FCST",IF(ABS(G562)&gt;Parametros!$B$14,IF(G562&gt;0,"SOBRE FCST","BAJO FCST"),"")))</f>
        <v/>
      </c>
    </row>
    <row r="563" customFormat="false" ht="15" hidden="false" customHeight="false" outlineLevel="0" collapsed="false">
      <c r="A563" s="3" t="n">
        <v>30002076</v>
      </c>
      <c r="B563" s="3" t="s">
        <v>270</v>
      </c>
      <c r="C563" s="3" t="s">
        <v>455</v>
      </c>
      <c r="D563" s="23" t="n">
        <v>3024</v>
      </c>
      <c r="E563" s="23" t="n">
        <v>2940.4</v>
      </c>
      <c r="F563" s="23" t="n">
        <f aca="false">D563-E563</f>
        <v>83.5999999999999</v>
      </c>
      <c r="G563" s="24" t="n">
        <f aca="false">IF(E563&gt;0,D563/E563-1,"")</f>
        <v>0.0284315059175622</v>
      </c>
      <c r="H563" s="3" t="str">
        <f aca="false">IF(MAX(D563,E563)&lt;Parametros!$B$16,"",IF(E563=0,"PIDE SIN FCST",IF(ABS(G563)&gt;Parametros!$B$14,IF(G563&gt;0,"SOBRE FCST","BAJO FCST"),"")))</f>
        <v/>
      </c>
    </row>
    <row r="564" customFormat="false" ht="15" hidden="false" customHeight="false" outlineLevel="0" collapsed="false">
      <c r="A564" s="3" t="n">
        <v>30001665</v>
      </c>
      <c r="B564" s="3" t="s">
        <v>285</v>
      </c>
      <c r="C564" s="3" t="s">
        <v>452</v>
      </c>
      <c r="D564" s="23" t="n">
        <v>144</v>
      </c>
      <c r="E564" s="23" t="n">
        <v>225.955674388588</v>
      </c>
      <c r="F564" s="23" t="n">
        <f aca="false">D564-E564</f>
        <v>-81.9556743885875</v>
      </c>
      <c r="G564" s="24" t="n">
        <f aca="false">IF(E564&gt;0,D564/E564-1,"")</f>
        <v>-0.362706865452045</v>
      </c>
      <c r="H564" s="3" t="str">
        <f aca="false">IF(MAX(D564,E564)&lt;Parametros!$B$16,"",IF(E564=0,"PIDE SIN FCST",IF(ABS(G564)&gt;Parametros!$B$14,IF(G564&gt;0,"SOBRE FCST","BAJO FCST"),"")))</f>
        <v/>
      </c>
    </row>
    <row r="565" customFormat="false" ht="15" hidden="false" customHeight="false" outlineLevel="0" collapsed="false">
      <c r="A565" s="3" t="n">
        <v>30002077</v>
      </c>
      <c r="B565" s="3" t="s">
        <v>240</v>
      </c>
      <c r="C565" s="3" t="s">
        <v>452</v>
      </c>
      <c r="D565" s="23" t="n">
        <v>636</v>
      </c>
      <c r="E565" s="23" t="n">
        <v>717.927601090543</v>
      </c>
      <c r="F565" s="23" t="n">
        <f aca="false">D565-E565</f>
        <v>-81.9276010905433</v>
      </c>
      <c r="G565" s="24" t="n">
        <f aca="false">IF(E565&gt;0,D565/E565-1,"")</f>
        <v>-0.114116800866959</v>
      </c>
      <c r="H565" s="3" t="str">
        <f aca="false">IF(MAX(D565,E565)&lt;Parametros!$B$16,"",IF(E565=0,"PIDE SIN FCST",IF(ABS(G565)&gt;Parametros!$B$14,IF(G565&gt;0,"SOBRE FCST","BAJO FCST"),"")))</f>
        <v/>
      </c>
    </row>
    <row r="566" customFormat="false" ht="15" hidden="false" customHeight="false" outlineLevel="0" collapsed="false">
      <c r="A566" s="3" t="n">
        <v>30001404</v>
      </c>
      <c r="B566" s="3" t="s">
        <v>223</v>
      </c>
      <c r="C566" s="3" t="s">
        <v>452</v>
      </c>
      <c r="D566" s="23" t="n">
        <v>2092.5</v>
      </c>
      <c r="E566" s="23" t="n">
        <v>2011.19227928479</v>
      </c>
      <c r="F566" s="23" t="n">
        <f aca="false">D566-E566</f>
        <v>81.3077207152089</v>
      </c>
      <c r="G566" s="24" t="n">
        <f aca="false">IF(E566&gt;0,D566/E566-1,"")</f>
        <v>0.0404276217409323</v>
      </c>
      <c r="H566" s="3" t="str">
        <f aca="false">IF(MAX(D566,E566)&lt;Parametros!$B$16,"",IF(E566=0,"PIDE SIN FCST",IF(ABS(G566)&gt;Parametros!$B$14,IF(G566&gt;0,"SOBRE FCST","BAJO FCST"),"")))</f>
        <v/>
      </c>
    </row>
    <row r="567" customFormat="false" ht="15" hidden="false" customHeight="false" outlineLevel="0" collapsed="false">
      <c r="A567" s="3" t="n">
        <v>30001988</v>
      </c>
      <c r="B567" s="3" t="s">
        <v>293</v>
      </c>
      <c r="C567" s="3" t="s">
        <v>452</v>
      </c>
      <c r="D567" s="23" t="n">
        <v>79.35</v>
      </c>
      <c r="E567" s="23" t="n">
        <v>0</v>
      </c>
      <c r="F567" s="23" t="n">
        <f aca="false">D567-E567</f>
        <v>79.35</v>
      </c>
      <c r="G567" s="24" t="str">
        <f aca="false">IF(E567&gt;0,D567/E567-1,"")</f>
        <v/>
      </c>
      <c r="H567" s="3" t="str">
        <f aca="false">IF(MAX(D567,E567)&lt;Parametros!$B$16,"",IF(E567=0,"PIDE SIN FCST",IF(ABS(G567)&gt;Parametros!$B$14,IF(G567&gt;0,"SOBRE FCST","BAJO FCST"),"")))</f>
        <v/>
      </c>
    </row>
    <row r="568" customFormat="false" ht="15" hidden="false" customHeight="false" outlineLevel="0" collapsed="false">
      <c r="A568" s="3" t="n">
        <v>30001376</v>
      </c>
      <c r="B568" s="3" t="s">
        <v>254</v>
      </c>
      <c r="C568" s="3" t="s">
        <v>448</v>
      </c>
      <c r="D568" s="23" t="n">
        <v>4797</v>
      </c>
      <c r="E568" s="23" t="n">
        <v>4875.125</v>
      </c>
      <c r="F568" s="23" t="n">
        <f aca="false">D568-E568</f>
        <v>-78.125</v>
      </c>
      <c r="G568" s="24" t="n">
        <f aca="false">IF(E568&gt;0,D568/E568-1,"")</f>
        <v>-0.0160252301223045</v>
      </c>
      <c r="H568" s="3" t="str">
        <f aca="false">IF(MAX(D568,E568)&lt;Parametros!$B$16,"",IF(E568=0,"PIDE SIN FCST",IF(ABS(G568)&gt;Parametros!$B$14,IF(G568&gt;0,"SOBRE FCST","BAJO FCST"),"")))</f>
        <v/>
      </c>
    </row>
    <row r="569" customFormat="false" ht="15" hidden="false" customHeight="false" outlineLevel="0" collapsed="false">
      <c r="A569" s="3" t="n">
        <v>30002330</v>
      </c>
      <c r="B569" s="3" t="s">
        <v>215</v>
      </c>
      <c r="C569" s="3" t="s">
        <v>455</v>
      </c>
      <c r="D569" s="23" t="n">
        <v>17424</v>
      </c>
      <c r="E569" s="23" t="n">
        <v>17500</v>
      </c>
      <c r="F569" s="23" t="n">
        <f aca="false">D569-E569</f>
        <v>-76</v>
      </c>
      <c r="G569" s="24" t="n">
        <f aca="false">IF(E569&gt;0,D569/E569-1,"")</f>
        <v>-0.00434285714285709</v>
      </c>
      <c r="H569" s="3" t="str">
        <f aca="false">IF(MAX(D569,E569)&lt;Parametros!$B$16,"",IF(E569=0,"PIDE SIN FCST",IF(ABS(G569)&gt;Parametros!$B$14,IF(G569&gt;0,"SOBRE FCST","BAJO FCST"),"")))</f>
        <v/>
      </c>
    </row>
    <row r="570" customFormat="false" ht="15" hidden="false" customHeight="false" outlineLevel="0" collapsed="false">
      <c r="A570" s="3" t="n">
        <v>30002177</v>
      </c>
      <c r="B570" s="3" t="s">
        <v>217</v>
      </c>
      <c r="C570" s="3" t="s">
        <v>447</v>
      </c>
      <c r="D570" s="23" t="n">
        <v>1830.8</v>
      </c>
      <c r="E570" s="23" t="n">
        <v>1904.86666666667</v>
      </c>
      <c r="F570" s="23" t="n">
        <f aca="false">D570-E570</f>
        <v>-74.0666666666671</v>
      </c>
      <c r="G570" s="24" t="n">
        <f aca="false">IF(E570&gt;0,D570/E570-1,"")</f>
        <v>-0.0388828614426209</v>
      </c>
      <c r="H570" s="3" t="str">
        <f aca="false">IF(MAX(D570,E570)&lt;Parametros!$B$16,"",IF(E570=0,"PIDE SIN FCST",IF(ABS(G570)&gt;Parametros!$B$14,IF(G570&gt;0,"SOBRE FCST","BAJO FCST"),"")))</f>
        <v/>
      </c>
    </row>
    <row r="571" customFormat="false" ht="15" hidden="false" customHeight="false" outlineLevel="0" collapsed="false">
      <c r="A571" s="3" t="n">
        <v>30001776</v>
      </c>
      <c r="B571" s="3" t="s">
        <v>294</v>
      </c>
      <c r="C571" s="3" t="s">
        <v>452</v>
      </c>
      <c r="D571" s="23" t="n">
        <v>48</v>
      </c>
      <c r="E571" s="23" t="n">
        <v>120.339558535119</v>
      </c>
      <c r="F571" s="23" t="n">
        <f aca="false">D571-E571</f>
        <v>-72.3395585351189</v>
      </c>
      <c r="G571" s="24" t="n">
        <f aca="false">IF(E571&gt;0,D571/E571-1,"")</f>
        <v>-0.601128668043168</v>
      </c>
      <c r="H571" s="3" t="str">
        <f aca="false">IF(MAX(D571,E571)&lt;Parametros!$B$16,"",IF(E571=0,"PIDE SIN FCST",IF(ABS(G571)&gt;Parametros!$B$14,IF(G571&gt;0,"SOBRE FCST","BAJO FCST"),"")))</f>
        <v/>
      </c>
    </row>
    <row r="572" customFormat="false" ht="15" hidden="false" customHeight="false" outlineLevel="0" collapsed="false">
      <c r="A572" s="3" t="n">
        <v>30001776</v>
      </c>
      <c r="B572" s="3" t="s">
        <v>294</v>
      </c>
      <c r="C572" s="3" t="s">
        <v>451</v>
      </c>
      <c r="D572" s="23" t="n">
        <v>72</v>
      </c>
      <c r="E572" s="23" t="n">
        <v>0</v>
      </c>
      <c r="F572" s="23" t="n">
        <f aca="false">D572-E572</f>
        <v>72</v>
      </c>
      <c r="G572" s="24" t="str">
        <f aca="false">IF(E572&gt;0,D572/E572-1,"")</f>
        <v/>
      </c>
      <c r="H572" s="3" t="str">
        <f aca="false">IF(MAX(D572,E572)&lt;Parametros!$B$16,"",IF(E572=0,"PIDE SIN FCST",IF(ABS(G572)&gt;Parametros!$B$14,IF(G572&gt;0,"SOBRE FCST","BAJO FCST"),"")))</f>
        <v/>
      </c>
    </row>
    <row r="573" customFormat="false" ht="15" hidden="false" customHeight="false" outlineLevel="0" collapsed="false">
      <c r="A573" s="3" t="n">
        <v>30000383</v>
      </c>
      <c r="B573" s="3" t="s">
        <v>288</v>
      </c>
      <c r="C573" s="3" t="s">
        <v>451</v>
      </c>
      <c r="D573" s="23" t="n">
        <v>24</v>
      </c>
      <c r="E573" s="23" t="n">
        <v>96</v>
      </c>
      <c r="F573" s="23" t="n">
        <f aca="false">D573-E573</f>
        <v>-72</v>
      </c>
      <c r="G573" s="24" t="n">
        <f aca="false">IF(E573&gt;0,D573/E573-1,"")</f>
        <v>-0.75</v>
      </c>
      <c r="H573" s="3" t="str">
        <f aca="false">IF(MAX(D573,E573)&lt;Parametros!$B$16,"",IF(E573=0,"PIDE SIN FCST",IF(ABS(G573)&gt;Parametros!$B$14,IF(G573&gt;0,"SOBRE FCST","BAJO FCST"),"")))</f>
        <v/>
      </c>
    </row>
    <row r="574" customFormat="false" ht="15" hidden="false" customHeight="false" outlineLevel="0" collapsed="false">
      <c r="A574" s="3" t="n">
        <v>30000306</v>
      </c>
      <c r="B574" s="3" t="s">
        <v>231</v>
      </c>
      <c r="C574" s="3" t="s">
        <v>453</v>
      </c>
      <c r="D574" s="23" t="n">
        <v>1152</v>
      </c>
      <c r="E574" s="23" t="n">
        <v>1223.91386609882</v>
      </c>
      <c r="F574" s="23" t="n">
        <f aca="false">D574-E574</f>
        <v>-71.913866098816</v>
      </c>
      <c r="G574" s="24" t="n">
        <f aca="false">IF(E574&gt;0,D574/E574-1,"")</f>
        <v>-0.0587572933772202</v>
      </c>
      <c r="H574" s="3" t="str">
        <f aca="false">IF(MAX(D574,E574)&lt;Parametros!$B$16,"",IF(E574=0,"PIDE SIN FCST",IF(ABS(G574)&gt;Parametros!$B$14,IF(G574&gt;0,"SOBRE FCST","BAJO FCST"),"")))</f>
        <v/>
      </c>
    </row>
    <row r="575" customFormat="false" ht="15" hidden="false" customHeight="false" outlineLevel="0" collapsed="false">
      <c r="A575" s="3" t="n">
        <v>30000246</v>
      </c>
      <c r="B575" s="3" t="s">
        <v>257</v>
      </c>
      <c r="C575" s="3" t="s">
        <v>452</v>
      </c>
      <c r="D575" s="23" t="n">
        <v>2604</v>
      </c>
      <c r="E575" s="23" t="n">
        <v>2675.28349372829</v>
      </c>
      <c r="F575" s="23" t="n">
        <f aca="false">D575-E575</f>
        <v>-71.2834937282901</v>
      </c>
      <c r="G575" s="24" t="n">
        <f aca="false">IF(E575&gt;0,D575/E575-1,"")</f>
        <v>-0.0266452112067379</v>
      </c>
      <c r="H575" s="3" t="str">
        <f aca="false">IF(MAX(D575,E575)&lt;Parametros!$B$16,"",IF(E575=0,"PIDE SIN FCST",IF(ABS(G575)&gt;Parametros!$B$14,IF(G575&gt;0,"SOBRE FCST","BAJO FCST"),"")))</f>
        <v/>
      </c>
    </row>
    <row r="576" customFormat="false" ht="15" hidden="false" customHeight="false" outlineLevel="0" collapsed="false">
      <c r="A576" s="3" t="n">
        <v>30001924</v>
      </c>
      <c r="B576" s="3" t="s">
        <v>284</v>
      </c>
      <c r="C576" s="3" t="s">
        <v>452</v>
      </c>
      <c r="D576" s="23" t="n">
        <v>132</v>
      </c>
      <c r="E576" s="23" t="n">
        <v>202.722881016653</v>
      </c>
      <c r="F576" s="23" t="n">
        <f aca="false">D576-E576</f>
        <v>-70.7228810166529</v>
      </c>
      <c r="G576" s="24" t="n">
        <f aca="false">IF(E576&gt;0,D576/E576-1,"")</f>
        <v>-0.348864818129944</v>
      </c>
      <c r="H576" s="3" t="str">
        <f aca="false">IF(MAX(D576,E576)&lt;Parametros!$B$16,"",IF(E576=0,"PIDE SIN FCST",IF(ABS(G576)&gt;Parametros!$B$14,IF(G576&gt;0,"SOBRE FCST","BAJO FCST"),"")))</f>
        <v/>
      </c>
    </row>
    <row r="577" customFormat="false" ht="15" hidden="false" customHeight="false" outlineLevel="0" collapsed="false">
      <c r="A577" s="3" t="n">
        <v>30001409</v>
      </c>
      <c r="B577" s="3" t="s">
        <v>211</v>
      </c>
      <c r="C577" s="3" t="s">
        <v>451</v>
      </c>
      <c r="D577" s="23" t="n">
        <v>136</v>
      </c>
      <c r="E577" s="23" t="n">
        <v>68</v>
      </c>
      <c r="F577" s="23" t="n">
        <f aca="false">D577-E577</f>
        <v>68</v>
      </c>
      <c r="G577" s="24" t="n">
        <f aca="false">IF(E577&gt;0,D577/E577-1,"")</f>
        <v>1</v>
      </c>
      <c r="H577" s="3" t="str">
        <f aca="false">IF(MAX(D577,E577)&lt;Parametros!$B$16,"",IF(E577=0,"PIDE SIN FCST",IF(ABS(G577)&gt;Parametros!$B$14,IF(G577&gt;0,"SOBRE FCST","BAJO FCST"),"")))</f>
        <v/>
      </c>
    </row>
    <row r="578" customFormat="false" ht="15" hidden="false" customHeight="false" outlineLevel="0" collapsed="false">
      <c r="A578" s="3" t="n">
        <v>30000360</v>
      </c>
      <c r="B578" s="3" t="s">
        <v>245</v>
      </c>
      <c r="C578" s="3" t="s">
        <v>452</v>
      </c>
      <c r="D578" s="23" t="n">
        <v>840</v>
      </c>
      <c r="E578" s="23" t="n">
        <v>772.314921573093</v>
      </c>
      <c r="F578" s="23" t="n">
        <f aca="false">D578-E578</f>
        <v>67.6850784269075</v>
      </c>
      <c r="G578" s="24" t="n">
        <f aca="false">IF(E578&gt;0,D578/E578-1,"")</f>
        <v>0.0876392214319035</v>
      </c>
      <c r="H578" s="3" t="str">
        <f aca="false">IF(MAX(D578,E578)&lt;Parametros!$B$16,"",IF(E578=0,"PIDE SIN FCST",IF(ABS(G578)&gt;Parametros!$B$14,IF(G578&gt;0,"SOBRE FCST","BAJO FCST"),"")))</f>
        <v/>
      </c>
    </row>
    <row r="579" customFormat="false" ht="15" hidden="false" customHeight="false" outlineLevel="0" collapsed="false">
      <c r="A579" s="3" t="n">
        <v>30002262</v>
      </c>
      <c r="B579" s="3" t="s">
        <v>275</v>
      </c>
      <c r="C579" s="3" t="s">
        <v>452</v>
      </c>
      <c r="D579" s="23" t="n">
        <v>276</v>
      </c>
      <c r="E579" s="23" t="n">
        <v>208.994621857243</v>
      </c>
      <c r="F579" s="23" t="n">
        <f aca="false">D579-E579</f>
        <v>67.0053781427574</v>
      </c>
      <c r="G579" s="24" t="n">
        <f aca="false">IF(E579&gt;0,D579/E579-1,"")</f>
        <v>0.320608145546093</v>
      </c>
      <c r="H579" s="3" t="str">
        <f aca="false">IF(MAX(D579,E579)&lt;Parametros!$B$16,"",IF(E579=0,"PIDE SIN FCST",IF(ABS(G579)&gt;Parametros!$B$14,IF(G579&gt;0,"SOBRE FCST","BAJO FCST"),"")))</f>
        <v/>
      </c>
    </row>
    <row r="580" customFormat="false" ht="15" hidden="false" customHeight="false" outlineLevel="0" collapsed="false">
      <c r="A580" s="3" t="n">
        <v>30002217</v>
      </c>
      <c r="B580" s="3" t="s">
        <v>291</v>
      </c>
      <c r="C580" s="3" t="s">
        <v>452</v>
      </c>
      <c r="D580" s="23" t="n">
        <v>131.1</v>
      </c>
      <c r="E580" s="23" t="n">
        <v>197.926745928884</v>
      </c>
      <c r="F580" s="23" t="n">
        <f aca="false">D580-E580</f>
        <v>-66.8267459288835</v>
      </c>
      <c r="G580" s="24" t="n">
        <f aca="false">IF(E580&gt;0,D580/E580-1,"")</f>
        <v>-0.3376337321935</v>
      </c>
      <c r="H580" s="3" t="str">
        <f aca="false">IF(MAX(D580,E580)&lt;Parametros!$B$16,"",IF(E580=0,"PIDE SIN FCST",IF(ABS(G580)&gt;Parametros!$B$14,IF(G580&gt;0,"SOBRE FCST","BAJO FCST"),"")))</f>
        <v/>
      </c>
    </row>
    <row r="581" customFormat="false" ht="15" hidden="false" customHeight="false" outlineLevel="0" collapsed="false">
      <c r="A581" s="3" t="n">
        <v>30002076</v>
      </c>
      <c r="B581" s="3" t="s">
        <v>270</v>
      </c>
      <c r="C581" s="3" t="s">
        <v>452</v>
      </c>
      <c r="D581" s="23" t="n">
        <v>120</v>
      </c>
      <c r="E581" s="23" t="n">
        <v>186.765081776929</v>
      </c>
      <c r="F581" s="23" t="n">
        <f aca="false">D581-E581</f>
        <v>-66.7650817769287</v>
      </c>
      <c r="G581" s="24" t="n">
        <f aca="false">IF(E581&gt;0,D581/E581-1,"")</f>
        <v>-0.357481608134183</v>
      </c>
      <c r="H581" s="3" t="str">
        <f aca="false">IF(MAX(D581,E581)&lt;Parametros!$B$16,"",IF(E581=0,"PIDE SIN FCST",IF(ABS(G581)&gt;Parametros!$B$14,IF(G581&gt;0,"SOBRE FCST","BAJO FCST"),"")))</f>
        <v/>
      </c>
    </row>
    <row r="582" customFormat="false" ht="15" hidden="false" customHeight="false" outlineLevel="0" collapsed="false">
      <c r="A582" s="3" t="n">
        <v>30001407</v>
      </c>
      <c r="B582" s="3" t="s">
        <v>280</v>
      </c>
      <c r="C582" s="3" t="s">
        <v>450</v>
      </c>
      <c r="D582" s="23" t="n">
        <v>1165.5</v>
      </c>
      <c r="E582" s="23" t="n">
        <v>1100</v>
      </c>
      <c r="F582" s="23" t="n">
        <f aca="false">D582-E582</f>
        <v>65.5</v>
      </c>
      <c r="G582" s="24" t="n">
        <f aca="false">IF(E582&gt;0,D582/E582-1,"")</f>
        <v>0.0595454545454546</v>
      </c>
      <c r="H582" s="3" t="str">
        <f aca="false">IF(MAX(D582,E582)&lt;Parametros!$B$16,"",IF(E582=0,"PIDE SIN FCST",IF(ABS(G582)&gt;Parametros!$B$14,IF(G582&gt;0,"SOBRE FCST","BAJO FCST"),"")))</f>
        <v/>
      </c>
    </row>
    <row r="583" customFormat="false" ht="15" hidden="false" customHeight="false" outlineLevel="0" collapsed="false">
      <c r="A583" s="3" t="n">
        <v>30002065</v>
      </c>
      <c r="B583" s="3" t="s">
        <v>225</v>
      </c>
      <c r="C583" s="3" t="s">
        <v>452</v>
      </c>
      <c r="D583" s="23" t="n">
        <v>1476</v>
      </c>
      <c r="E583" s="23" t="n">
        <v>1410.83892186765</v>
      </c>
      <c r="F583" s="23" t="n">
        <f aca="false">D583-E583</f>
        <v>65.1610781323491</v>
      </c>
      <c r="G583" s="24" t="n">
        <f aca="false">IF(E583&gt;0,D583/E583-1,"")</f>
        <v>0.0461860508115906</v>
      </c>
      <c r="H583" s="3" t="str">
        <f aca="false">IF(MAX(D583,E583)&lt;Parametros!$B$16,"",IF(E583=0,"PIDE SIN FCST",IF(ABS(G583)&gt;Parametros!$B$14,IF(G583&gt;0,"SOBRE FCST","BAJO FCST"),"")))</f>
        <v/>
      </c>
    </row>
    <row r="584" customFormat="false" ht="15" hidden="false" customHeight="false" outlineLevel="0" collapsed="false">
      <c r="A584" s="3" t="n">
        <v>30001423</v>
      </c>
      <c r="B584" s="3" t="s">
        <v>230</v>
      </c>
      <c r="C584" s="3" t="s">
        <v>453</v>
      </c>
      <c r="D584" s="23" t="n">
        <v>1647</v>
      </c>
      <c r="E584" s="23" t="n">
        <v>1582</v>
      </c>
      <c r="F584" s="23" t="n">
        <f aca="false">D584-E584</f>
        <v>65</v>
      </c>
      <c r="G584" s="24" t="n">
        <f aca="false">IF(E584&gt;0,D584/E584-1,"")</f>
        <v>0.041087231352718</v>
      </c>
      <c r="H584" s="3" t="str">
        <f aca="false">IF(MAX(D584,E584)&lt;Parametros!$B$16,"",IF(E584=0,"PIDE SIN FCST",IF(ABS(G584)&gt;Parametros!$B$14,IF(G584&gt;0,"SOBRE FCST","BAJO FCST"),"")))</f>
        <v/>
      </c>
    </row>
    <row r="585" customFormat="false" ht="15" hidden="false" customHeight="false" outlineLevel="0" collapsed="false">
      <c r="A585" s="3" t="n">
        <v>30000327</v>
      </c>
      <c r="B585" s="3" t="s">
        <v>259</v>
      </c>
      <c r="C585" s="3" t="s">
        <v>452</v>
      </c>
      <c r="D585" s="23" t="n">
        <v>924</v>
      </c>
      <c r="E585" s="23" t="n">
        <v>988.418816526434</v>
      </c>
      <c r="F585" s="23" t="n">
        <f aca="false">D585-E585</f>
        <v>-64.4188165264343</v>
      </c>
      <c r="G585" s="24" t="n">
        <f aca="false">IF(E585&gt;0,D585/E585-1,"")</f>
        <v>-0.065173603991898</v>
      </c>
      <c r="H585" s="3" t="str">
        <f aca="false">IF(MAX(D585,E585)&lt;Parametros!$B$16,"",IF(E585=0,"PIDE SIN FCST",IF(ABS(G585)&gt;Parametros!$B$14,IF(G585&gt;0,"SOBRE FCST","BAJO FCST"),"")))</f>
        <v/>
      </c>
    </row>
    <row r="586" customFormat="false" ht="15" hidden="false" customHeight="false" outlineLevel="0" collapsed="false">
      <c r="A586" s="3" t="n">
        <v>30000006</v>
      </c>
      <c r="B586" s="3" t="s">
        <v>252</v>
      </c>
      <c r="C586" s="3" t="s">
        <v>452</v>
      </c>
      <c r="D586" s="23" t="n">
        <v>876</v>
      </c>
      <c r="E586" s="23" t="n">
        <v>812.411520600292</v>
      </c>
      <c r="F586" s="23" t="n">
        <f aca="false">D586-E586</f>
        <v>63.588479399708</v>
      </c>
      <c r="G586" s="24" t="n">
        <f aca="false">IF(E586&gt;0,D586/E586-1,"")</f>
        <v>0.0782712674393422</v>
      </c>
      <c r="H586" s="3" t="str">
        <f aca="false">IF(MAX(D586,E586)&lt;Parametros!$B$16,"",IF(E586=0,"PIDE SIN FCST",IF(ABS(G586)&gt;Parametros!$B$14,IF(G586&gt;0,"SOBRE FCST","BAJO FCST"),"")))</f>
        <v/>
      </c>
    </row>
    <row r="587" customFormat="false" ht="15" hidden="false" customHeight="false" outlineLevel="0" collapsed="false">
      <c r="A587" s="3" t="n">
        <v>30000206</v>
      </c>
      <c r="B587" s="3" t="s">
        <v>218</v>
      </c>
      <c r="C587" s="3" t="s">
        <v>448</v>
      </c>
      <c r="D587" s="23" t="n">
        <v>7392</v>
      </c>
      <c r="E587" s="23" t="n">
        <v>7328.59833333333</v>
      </c>
      <c r="F587" s="23" t="n">
        <f aca="false">D587-E587</f>
        <v>63.4016666666666</v>
      </c>
      <c r="G587" s="24" t="n">
        <f aca="false">IF(E587&gt;0,D587/E587-1,"")</f>
        <v>0.00865126778449454</v>
      </c>
      <c r="H587" s="3" t="str">
        <f aca="false">IF(MAX(D587,E587)&lt;Parametros!$B$16,"",IF(E587=0,"PIDE SIN FCST",IF(ABS(G587)&gt;Parametros!$B$14,IF(G587&gt;0,"SOBRE FCST","BAJO FCST"),"")))</f>
        <v/>
      </c>
    </row>
    <row r="588" customFormat="false" ht="15" hidden="false" customHeight="false" outlineLevel="0" collapsed="false">
      <c r="A588" s="3" t="n">
        <v>30001412</v>
      </c>
      <c r="B588" s="3" t="s">
        <v>299</v>
      </c>
      <c r="C588" s="3" t="s">
        <v>452</v>
      </c>
      <c r="D588" s="23" t="n">
        <v>3.6</v>
      </c>
      <c r="E588" s="23" t="n">
        <v>66.9552489072976</v>
      </c>
      <c r="F588" s="23" t="n">
        <f aca="false">D588-E588</f>
        <v>-63.3552489072976</v>
      </c>
      <c r="G588" s="24" t="n">
        <f aca="false">IF(E588&gt;0,D588/E588-1,"")</f>
        <v>-0.946232744127584</v>
      </c>
      <c r="H588" s="3" t="str">
        <f aca="false">IF(MAX(D588,E588)&lt;Parametros!$B$16,"",IF(E588=0,"PIDE SIN FCST",IF(ABS(G588)&gt;Parametros!$B$14,IF(G588&gt;0,"SOBRE FCST","BAJO FCST"),"")))</f>
        <v/>
      </c>
    </row>
    <row r="589" customFormat="false" ht="15" hidden="false" customHeight="false" outlineLevel="0" collapsed="false">
      <c r="A589" s="3" t="n">
        <v>30000328</v>
      </c>
      <c r="B589" s="3" t="s">
        <v>241</v>
      </c>
      <c r="C589" s="3" t="s">
        <v>452</v>
      </c>
      <c r="D589" s="23" t="n">
        <v>1068</v>
      </c>
      <c r="E589" s="23" t="n">
        <v>1130.85661392002</v>
      </c>
      <c r="F589" s="23" t="n">
        <f aca="false">D589-E589</f>
        <v>-62.8566139200159</v>
      </c>
      <c r="G589" s="24" t="n">
        <f aca="false">IF(E589&gt;0,D589/E589-1,"")</f>
        <v>-0.0555831863618226</v>
      </c>
      <c r="H589" s="3" t="str">
        <f aca="false">IF(MAX(D589,E589)&lt;Parametros!$B$16,"",IF(E589=0,"PIDE SIN FCST",IF(ABS(G589)&gt;Parametros!$B$14,IF(G589&gt;0,"SOBRE FCST","BAJO FCST"),"")))</f>
        <v/>
      </c>
    </row>
    <row r="590" customFormat="false" ht="15" hidden="false" customHeight="false" outlineLevel="0" collapsed="false">
      <c r="A590" s="3" t="n">
        <v>30001923</v>
      </c>
      <c r="B590" s="3" t="s">
        <v>236</v>
      </c>
      <c r="C590" s="3" t="s">
        <v>448</v>
      </c>
      <c r="D590" s="23" t="n">
        <v>1656</v>
      </c>
      <c r="E590" s="23" t="n">
        <v>1718.36666666667</v>
      </c>
      <c r="F590" s="23" t="n">
        <f aca="false">D590-E590</f>
        <v>-62.366666666667</v>
      </c>
      <c r="G590" s="24" t="n">
        <f aca="false">IF(E590&gt;0,D590/E590-1,"")</f>
        <v>-0.0362941553025161</v>
      </c>
      <c r="H590" s="3" t="str">
        <f aca="false">IF(MAX(D590,E590)&lt;Parametros!$B$16,"",IF(E590=0,"PIDE SIN FCST",IF(ABS(G590)&gt;Parametros!$B$14,IF(G590&gt;0,"SOBRE FCST","BAJO FCST"),"")))</f>
        <v/>
      </c>
    </row>
    <row r="591" customFormat="false" ht="15" hidden="false" customHeight="false" outlineLevel="0" collapsed="false">
      <c r="A591" s="3" t="n">
        <v>30000258</v>
      </c>
      <c r="B591" s="3" t="s">
        <v>196</v>
      </c>
      <c r="C591" s="3" t="s">
        <v>451</v>
      </c>
      <c r="D591" s="23" t="n">
        <v>60</v>
      </c>
      <c r="E591" s="23" t="n">
        <v>0</v>
      </c>
      <c r="F591" s="23" t="n">
        <f aca="false">D591-E591</f>
        <v>60</v>
      </c>
      <c r="G591" s="24" t="str">
        <f aca="false">IF(E591&gt;0,D591/E591-1,"")</f>
        <v/>
      </c>
      <c r="H591" s="3" t="str">
        <f aca="false">IF(MAX(D591,E591)&lt;Parametros!$B$16,"",IF(E591=0,"PIDE SIN FCST",IF(ABS(G591)&gt;Parametros!$B$14,IF(G591&gt;0,"SOBRE FCST","BAJO FCST"),"")))</f>
        <v/>
      </c>
    </row>
    <row r="592" customFormat="false" ht="15" hidden="false" customHeight="false" outlineLevel="0" collapsed="false">
      <c r="A592" s="3" t="n">
        <v>30000383</v>
      </c>
      <c r="B592" s="3" t="s">
        <v>288</v>
      </c>
      <c r="C592" s="3" t="s">
        <v>450</v>
      </c>
      <c r="D592" s="23" t="n">
        <v>1092</v>
      </c>
      <c r="E592" s="23" t="n">
        <v>1146.9</v>
      </c>
      <c r="F592" s="23" t="n">
        <f aca="false">D592-E592</f>
        <v>-54.9000000000001</v>
      </c>
      <c r="G592" s="24" t="n">
        <f aca="false">IF(E592&gt;0,D592/E592-1,"")</f>
        <v>-0.0478681663614963</v>
      </c>
      <c r="H592" s="3" t="str">
        <f aca="false">IF(MAX(D592,E592)&lt;Parametros!$B$16,"",IF(E592=0,"PIDE SIN FCST",IF(ABS(G592)&gt;Parametros!$B$14,IF(G592&gt;0,"SOBRE FCST","BAJO FCST"),"")))</f>
        <v/>
      </c>
    </row>
    <row r="593" customFormat="false" ht="15" hidden="false" customHeight="false" outlineLevel="0" collapsed="false">
      <c r="A593" s="3" t="n">
        <v>30002066</v>
      </c>
      <c r="B593" s="3" t="s">
        <v>203</v>
      </c>
      <c r="C593" s="3" t="s">
        <v>452</v>
      </c>
      <c r="D593" s="23" t="n">
        <v>492</v>
      </c>
      <c r="E593" s="23" t="n">
        <v>437.752891658713</v>
      </c>
      <c r="F593" s="23" t="n">
        <f aca="false">D593-E593</f>
        <v>54.2471083412867</v>
      </c>
      <c r="G593" s="24" t="n">
        <f aca="false">IF(E593&gt;0,D593/E593-1,"")</f>
        <v>0.123921758999092</v>
      </c>
      <c r="H593" s="3" t="str">
        <f aca="false">IF(MAX(D593,E593)&lt;Parametros!$B$16,"",IF(E593=0,"PIDE SIN FCST",IF(ABS(G593)&gt;Parametros!$B$14,IF(G593&gt;0,"SOBRE FCST","BAJO FCST"),"")))</f>
        <v/>
      </c>
    </row>
    <row r="594" customFormat="false" ht="15" hidden="false" customHeight="false" outlineLevel="0" collapsed="false">
      <c r="A594" s="3" t="n">
        <v>30000010</v>
      </c>
      <c r="B594" s="3" t="s">
        <v>232</v>
      </c>
      <c r="C594" s="3" t="s">
        <v>452</v>
      </c>
      <c r="D594" s="23" t="n">
        <v>1392</v>
      </c>
      <c r="E594" s="23" t="n">
        <v>1338.04550057474</v>
      </c>
      <c r="F594" s="23" t="n">
        <f aca="false">D594-E594</f>
        <v>53.954499425259</v>
      </c>
      <c r="G594" s="24" t="n">
        <f aca="false">IF(E594&gt;0,D594/E594-1,"")</f>
        <v>0.0403233667331069</v>
      </c>
      <c r="H594" s="3" t="str">
        <f aca="false">IF(MAX(D594,E594)&lt;Parametros!$B$16,"",IF(E594=0,"PIDE SIN FCST",IF(ABS(G594)&gt;Parametros!$B$14,IF(G594&gt;0,"SOBRE FCST","BAJO FCST"),"")))</f>
        <v/>
      </c>
    </row>
    <row r="595" customFormat="false" ht="15" hidden="false" customHeight="false" outlineLevel="0" collapsed="false">
      <c r="A595" s="3" t="n">
        <v>30000543</v>
      </c>
      <c r="B595" s="3" t="s">
        <v>258</v>
      </c>
      <c r="C595" s="3" t="s">
        <v>452</v>
      </c>
      <c r="D595" s="23" t="n">
        <v>642</v>
      </c>
      <c r="E595" s="23" t="n">
        <v>695.914522393494</v>
      </c>
      <c r="F595" s="23" t="n">
        <f aca="false">D595-E595</f>
        <v>-53.9145223934944</v>
      </c>
      <c r="G595" s="24" t="n">
        <f aca="false">IF(E595&gt;0,D595/E595-1,"")</f>
        <v>-0.0774729088970056</v>
      </c>
      <c r="H595" s="3" t="str">
        <f aca="false">IF(MAX(D595,E595)&lt;Parametros!$B$16,"",IF(E595=0,"PIDE SIN FCST",IF(ABS(G595)&gt;Parametros!$B$14,IF(G595&gt;0,"SOBRE FCST","BAJO FCST"),"")))</f>
        <v/>
      </c>
    </row>
    <row r="596" customFormat="false" ht="15" hidden="false" customHeight="false" outlineLevel="0" collapsed="false">
      <c r="A596" s="3" t="n">
        <v>30001976</v>
      </c>
      <c r="B596" s="3" t="s">
        <v>263</v>
      </c>
      <c r="C596" s="3" t="s">
        <v>453</v>
      </c>
      <c r="D596" s="23" t="n">
        <v>582</v>
      </c>
      <c r="E596" s="23" t="n">
        <v>635.502709462276</v>
      </c>
      <c r="F596" s="23" t="n">
        <f aca="false">D596-E596</f>
        <v>-53.5027094622759</v>
      </c>
      <c r="G596" s="24" t="n">
        <f aca="false">IF(E596&gt;0,D596/E596-1,"")</f>
        <v>-0.0841895851357529</v>
      </c>
      <c r="H596" s="3" t="str">
        <f aca="false">IF(MAX(D596,E596)&lt;Parametros!$B$16,"",IF(E596=0,"PIDE SIN FCST",IF(ABS(G596)&gt;Parametros!$B$14,IF(G596&gt;0,"SOBRE FCST","BAJO FCST"),"")))</f>
        <v/>
      </c>
    </row>
    <row r="597" customFormat="false" ht="15" hidden="false" customHeight="false" outlineLevel="0" collapsed="false">
      <c r="A597" s="3" t="n">
        <v>30002269</v>
      </c>
      <c r="B597" s="3" t="s">
        <v>281</v>
      </c>
      <c r="C597" s="3" t="s">
        <v>452</v>
      </c>
      <c r="D597" s="23" t="n">
        <v>228</v>
      </c>
      <c r="E597" s="23" t="n">
        <v>281.05821728515</v>
      </c>
      <c r="F597" s="23" t="n">
        <f aca="false">D597-E597</f>
        <v>-53.0582172851496</v>
      </c>
      <c r="G597" s="24" t="n">
        <f aca="false">IF(E597&gt;0,D597/E597-1,"")</f>
        <v>-0.188780167317859</v>
      </c>
      <c r="H597" s="3" t="str">
        <f aca="false">IF(MAX(D597,E597)&lt;Parametros!$B$16,"",IF(E597=0,"PIDE SIN FCST",IF(ABS(G597)&gt;Parametros!$B$14,IF(G597&gt;0,"SOBRE FCST","BAJO FCST"),"")))</f>
        <v/>
      </c>
    </row>
    <row r="598" customFormat="false" ht="15" hidden="false" customHeight="false" outlineLevel="0" collapsed="false">
      <c r="A598" s="3" t="n">
        <v>30002180</v>
      </c>
      <c r="B598" s="3" t="s">
        <v>260</v>
      </c>
      <c r="C598" s="3" t="s">
        <v>453</v>
      </c>
      <c r="D598" s="23" t="n">
        <v>381.9</v>
      </c>
      <c r="E598" s="23" t="n">
        <v>434.708</v>
      </c>
      <c r="F598" s="23" t="n">
        <f aca="false">D598-E598</f>
        <v>-52.8080000000001</v>
      </c>
      <c r="G598" s="24" t="n">
        <f aca="false">IF(E598&gt;0,D598/E598-1,"")</f>
        <v>-0.121479245838586</v>
      </c>
      <c r="H598" s="3" t="str">
        <f aca="false">IF(MAX(D598,E598)&lt;Parametros!$B$16,"",IF(E598=0,"PIDE SIN FCST",IF(ABS(G598)&gt;Parametros!$B$14,IF(G598&gt;0,"SOBRE FCST","BAJO FCST"),"")))</f>
        <v/>
      </c>
    </row>
    <row r="599" customFormat="false" ht="15" hidden="false" customHeight="false" outlineLevel="0" collapsed="false">
      <c r="A599" s="3" t="n">
        <v>30001423</v>
      </c>
      <c r="B599" s="3" t="s">
        <v>230</v>
      </c>
      <c r="C599" s="3" t="s">
        <v>452</v>
      </c>
      <c r="D599" s="23" t="n">
        <v>553.5</v>
      </c>
      <c r="E599" s="23" t="n">
        <v>500.984720820568</v>
      </c>
      <c r="F599" s="23" t="n">
        <f aca="false">D599-E599</f>
        <v>52.5152791794319</v>
      </c>
      <c r="G599" s="24" t="n">
        <f aca="false">IF(E599&gt;0,D599/E599-1,"")</f>
        <v>0.104824113384968</v>
      </c>
      <c r="H599" s="3" t="str">
        <f aca="false">IF(MAX(D599,E599)&lt;Parametros!$B$16,"",IF(E599=0,"PIDE SIN FCST",IF(ABS(G599)&gt;Parametros!$B$14,IF(G599&gt;0,"SOBRE FCST","BAJO FCST"),"")))</f>
        <v/>
      </c>
    </row>
    <row r="600" customFormat="false" ht="15" hidden="false" customHeight="false" outlineLevel="0" collapsed="false">
      <c r="A600" s="3" t="n">
        <v>30000321</v>
      </c>
      <c r="B600" s="3" t="s">
        <v>237</v>
      </c>
      <c r="C600" s="3" t="s">
        <v>447</v>
      </c>
      <c r="D600" s="23" t="n">
        <v>864</v>
      </c>
      <c r="E600" s="23" t="n">
        <v>914.512277161117</v>
      </c>
      <c r="F600" s="23" t="n">
        <f aca="false">D600-E600</f>
        <v>-50.5122771611167</v>
      </c>
      <c r="G600" s="24" t="n">
        <f aca="false">IF(E600&gt;0,D600/E600-1,"")</f>
        <v>-0.0552341159573274</v>
      </c>
      <c r="H600" s="3" t="str">
        <f aca="false">IF(MAX(D600,E600)&lt;Parametros!$B$16,"",IF(E600=0,"PIDE SIN FCST",IF(ABS(G600)&gt;Parametros!$B$14,IF(G600&gt;0,"SOBRE FCST","BAJO FCST"),"")))</f>
        <v/>
      </c>
    </row>
    <row r="601" customFormat="false" ht="15" hidden="false" customHeight="false" outlineLevel="0" collapsed="false">
      <c r="A601" s="3" t="n">
        <v>30000328</v>
      </c>
      <c r="B601" s="3" t="s">
        <v>241</v>
      </c>
      <c r="C601" s="3" t="s">
        <v>455</v>
      </c>
      <c r="D601" s="23" t="n">
        <v>10200</v>
      </c>
      <c r="E601" s="23" t="n">
        <v>10155.04</v>
      </c>
      <c r="F601" s="23" t="n">
        <f aca="false">D601-E601</f>
        <v>44.9599999999991</v>
      </c>
      <c r="G601" s="24" t="n">
        <f aca="false">IF(E601&gt;0,D601/E601-1,"")</f>
        <v>0.00442735823787976</v>
      </c>
      <c r="H601" s="3" t="str">
        <f aca="false">IF(MAX(D601,E601)&lt;Parametros!$B$16,"",IF(E601=0,"PIDE SIN FCST",IF(ABS(G601)&gt;Parametros!$B$14,IF(G601&gt;0,"SOBRE FCST","BAJO FCST"),"")))</f>
        <v/>
      </c>
    </row>
    <row r="602" customFormat="false" ht="15" hidden="false" customHeight="false" outlineLevel="0" collapsed="false">
      <c r="A602" s="3" t="n">
        <v>30001409</v>
      </c>
      <c r="B602" s="3" t="s">
        <v>211</v>
      </c>
      <c r="C602" s="3" t="s">
        <v>454</v>
      </c>
      <c r="D602" s="23" t="n">
        <v>3740</v>
      </c>
      <c r="E602" s="23" t="n">
        <v>3784.15941311936</v>
      </c>
      <c r="F602" s="23" t="n">
        <f aca="false">D602-E602</f>
        <v>-44.159413119356</v>
      </c>
      <c r="G602" s="24" t="n">
        <f aca="false">IF(E602&gt;0,D602/E602-1,"")</f>
        <v>-0.0116695435626362</v>
      </c>
      <c r="H602" s="3" t="str">
        <f aca="false">IF(MAX(D602,E602)&lt;Parametros!$B$16,"",IF(E602=0,"PIDE SIN FCST",IF(ABS(G602)&gt;Parametros!$B$14,IF(G602&gt;0,"SOBRE FCST","BAJO FCST"),"")))</f>
        <v/>
      </c>
    </row>
    <row r="603" customFormat="false" ht="15" hidden="false" customHeight="false" outlineLevel="0" collapsed="false">
      <c r="A603" s="3" t="n">
        <v>30002125</v>
      </c>
      <c r="B603" s="3" t="s">
        <v>262</v>
      </c>
      <c r="C603" s="3" t="s">
        <v>450</v>
      </c>
      <c r="D603" s="23" t="n">
        <v>836</v>
      </c>
      <c r="E603" s="23" t="n">
        <v>879.14</v>
      </c>
      <c r="F603" s="23" t="n">
        <f aca="false">D603-E603</f>
        <v>-43.1400000000001</v>
      </c>
      <c r="G603" s="24" t="n">
        <f aca="false">IF(E603&gt;0,D603/E603-1,"")</f>
        <v>-0.0490706827126511</v>
      </c>
      <c r="H603" s="3" t="str">
        <f aca="false">IF(MAX(D603,E603)&lt;Parametros!$B$16,"",IF(E603=0,"PIDE SIN FCST",IF(ABS(G603)&gt;Parametros!$B$14,IF(G603&gt;0,"SOBRE FCST","BAJO FCST"),"")))</f>
        <v/>
      </c>
    </row>
    <row r="604" customFormat="false" ht="15" hidden="false" customHeight="false" outlineLevel="0" collapsed="false">
      <c r="A604" s="3" t="n">
        <v>30000478</v>
      </c>
      <c r="B604" s="3" t="s">
        <v>248</v>
      </c>
      <c r="C604" s="3" t="s">
        <v>452</v>
      </c>
      <c r="D604" s="23" t="n">
        <v>1152</v>
      </c>
      <c r="E604" s="23" t="n">
        <v>1110.41824984936</v>
      </c>
      <c r="F604" s="23" t="n">
        <f aca="false">D604-E604</f>
        <v>41.581750150636</v>
      </c>
      <c r="G604" s="24" t="n">
        <f aca="false">IF(E604&gt;0,D604/E604-1,"")</f>
        <v>0.0374469261075967</v>
      </c>
      <c r="H604" s="3" t="str">
        <f aca="false">IF(MAX(D604,E604)&lt;Parametros!$B$16,"",IF(E604=0,"PIDE SIN FCST",IF(ABS(G604)&gt;Parametros!$B$14,IF(G604&gt;0,"SOBRE FCST","BAJO FCST"),"")))</f>
        <v/>
      </c>
    </row>
    <row r="605" customFormat="false" ht="15" hidden="false" customHeight="false" outlineLevel="0" collapsed="false">
      <c r="A605" s="3" t="n">
        <v>30001882</v>
      </c>
      <c r="B605" s="3" t="s">
        <v>243</v>
      </c>
      <c r="C605" s="3" t="s">
        <v>452</v>
      </c>
      <c r="D605" s="23" t="n">
        <v>1614</v>
      </c>
      <c r="E605" s="23" t="n">
        <v>1573.04670757896</v>
      </c>
      <c r="F605" s="23" t="n">
        <f aca="false">D605-E605</f>
        <v>40.953292421043</v>
      </c>
      <c r="G605" s="24" t="n">
        <f aca="false">IF(E605&gt;0,D605/E605-1,"")</f>
        <v>0.0260343778882912</v>
      </c>
      <c r="H605" s="3" t="str">
        <f aca="false">IF(MAX(D605,E605)&lt;Parametros!$B$16,"",IF(E605=0,"PIDE SIN FCST",IF(ABS(G605)&gt;Parametros!$B$14,IF(G605&gt;0,"SOBRE FCST","BAJO FCST"),"")))</f>
        <v/>
      </c>
    </row>
    <row r="606" customFormat="false" ht="15" hidden="false" customHeight="false" outlineLevel="0" collapsed="false">
      <c r="A606" s="3" t="n">
        <v>30000479</v>
      </c>
      <c r="B606" s="3" t="s">
        <v>289</v>
      </c>
      <c r="C606" s="3" t="s">
        <v>452</v>
      </c>
      <c r="D606" s="23" t="n">
        <v>624</v>
      </c>
      <c r="E606" s="23" t="n">
        <v>664.227923924871</v>
      </c>
      <c r="F606" s="23" t="n">
        <f aca="false">D606-E606</f>
        <v>-40.227923924871</v>
      </c>
      <c r="G606" s="24" t="n">
        <f aca="false">IF(E606&gt;0,D606/E606-1,"")</f>
        <v>-0.0605634338393474</v>
      </c>
      <c r="H606" s="3" t="str">
        <f aca="false">IF(MAX(D606,E606)&lt;Parametros!$B$16,"",IF(E606=0,"PIDE SIN FCST",IF(ABS(G606)&gt;Parametros!$B$14,IF(G606&gt;0,"SOBRE FCST","BAJO FCST"),"")))</f>
        <v/>
      </c>
    </row>
    <row r="607" customFormat="false" ht="15" hidden="false" customHeight="false" outlineLevel="0" collapsed="false">
      <c r="A607" s="3" t="n">
        <v>30002261</v>
      </c>
      <c r="B607" s="3" t="s">
        <v>282</v>
      </c>
      <c r="C607" s="3" t="s">
        <v>450</v>
      </c>
      <c r="D607" s="23" t="n">
        <v>2960.1</v>
      </c>
      <c r="E607" s="23" t="n">
        <v>3000</v>
      </c>
      <c r="F607" s="23" t="n">
        <f aca="false">D607-E607</f>
        <v>-39.9000000000001</v>
      </c>
      <c r="G607" s="24" t="n">
        <f aca="false">IF(E607&gt;0,D607/E607-1,"")</f>
        <v>-0.0133</v>
      </c>
      <c r="H607" s="3" t="str">
        <f aca="false">IF(MAX(D607,E607)&lt;Parametros!$B$16,"",IF(E607=0,"PIDE SIN FCST",IF(ABS(G607)&gt;Parametros!$B$14,IF(G607&gt;0,"SOBRE FCST","BAJO FCST"),"")))</f>
        <v/>
      </c>
    </row>
    <row r="608" customFormat="false" ht="15" hidden="false" customHeight="false" outlineLevel="0" collapsed="false">
      <c r="A608" s="3" t="n">
        <v>30001925</v>
      </c>
      <c r="B608" s="3" t="s">
        <v>283</v>
      </c>
      <c r="C608" s="3" t="s">
        <v>452</v>
      </c>
      <c r="D608" s="23" t="n">
        <v>576.15</v>
      </c>
      <c r="E608" s="23" t="n">
        <v>614.85059298779</v>
      </c>
      <c r="F608" s="23" t="n">
        <f aca="false">D608-E608</f>
        <v>-38.7005929877903</v>
      </c>
      <c r="G608" s="24" t="n">
        <f aca="false">IF(E608&gt;0,D608/E608-1,"")</f>
        <v>-0.0629430847577613</v>
      </c>
      <c r="H608" s="3" t="str">
        <f aca="false">IF(MAX(D608,E608)&lt;Parametros!$B$16,"",IF(E608=0,"PIDE SIN FCST",IF(ABS(G608)&gt;Parametros!$B$14,IF(G608&gt;0,"SOBRE FCST","BAJO FCST"),"")))</f>
        <v/>
      </c>
    </row>
    <row r="609" customFormat="false" ht="15" hidden="false" customHeight="false" outlineLevel="0" collapsed="false">
      <c r="A609" s="3" t="n">
        <v>30000542</v>
      </c>
      <c r="B609" s="3" t="s">
        <v>296</v>
      </c>
      <c r="C609" s="3" t="s">
        <v>452</v>
      </c>
      <c r="D609" s="23" t="n">
        <v>0</v>
      </c>
      <c r="E609" s="23" t="n">
        <v>38.0212243672918</v>
      </c>
      <c r="F609" s="23" t="n">
        <f aca="false">D609-E609</f>
        <v>-38.0212243672918</v>
      </c>
      <c r="G609" s="24" t="n">
        <f aca="false">IF(E609&gt;0,D609/E609-1,"")</f>
        <v>-1</v>
      </c>
      <c r="H609" s="3" t="str">
        <f aca="false">IF(MAX(D609,E609)&lt;Parametros!$B$16,"",IF(E609=0,"PIDE SIN FCST",IF(ABS(G609)&gt;Parametros!$B$14,IF(G609&gt;0,"SOBRE FCST","BAJO FCST"),"")))</f>
        <v/>
      </c>
    </row>
    <row r="610" customFormat="false" ht="15" hidden="false" customHeight="false" outlineLevel="0" collapsed="false">
      <c r="A610" s="3" t="n">
        <v>30001988</v>
      </c>
      <c r="B610" s="3" t="s">
        <v>293</v>
      </c>
      <c r="C610" s="3" t="s">
        <v>455</v>
      </c>
      <c r="D610" s="23" t="n">
        <v>0</v>
      </c>
      <c r="E610" s="23" t="n">
        <v>37.605</v>
      </c>
      <c r="F610" s="23" t="n">
        <f aca="false">D610-E610</f>
        <v>-37.605</v>
      </c>
      <c r="G610" s="24" t="n">
        <f aca="false">IF(E610&gt;0,D610/E610-1,"")</f>
        <v>-1</v>
      </c>
      <c r="H610" s="3" t="str">
        <f aca="false">IF(MAX(D610,E610)&lt;Parametros!$B$16,"",IF(E610=0,"PIDE SIN FCST",IF(ABS(G610)&gt;Parametros!$B$14,IF(G610&gt;0,"SOBRE FCST","BAJO FCST"),"")))</f>
        <v/>
      </c>
    </row>
    <row r="611" customFormat="false" ht="15" hidden="false" customHeight="false" outlineLevel="0" collapsed="false">
      <c r="A611" s="3" t="n">
        <v>30002177</v>
      </c>
      <c r="B611" s="3" t="s">
        <v>217</v>
      </c>
      <c r="C611" s="3" t="s">
        <v>451</v>
      </c>
      <c r="D611" s="23" t="n">
        <v>36.8</v>
      </c>
      <c r="E611" s="23" t="n">
        <v>0</v>
      </c>
      <c r="F611" s="23" t="n">
        <f aca="false">D611-E611</f>
        <v>36.8</v>
      </c>
      <c r="G611" s="24" t="str">
        <f aca="false">IF(E611&gt;0,D611/E611-1,"")</f>
        <v/>
      </c>
      <c r="H611" s="3" t="str">
        <f aca="false">IF(MAX(D611,E611)&lt;Parametros!$B$16,"",IF(E611=0,"PIDE SIN FCST",IF(ABS(G611)&gt;Parametros!$B$14,IF(G611&gt;0,"SOBRE FCST","BAJO FCST"),"")))</f>
        <v/>
      </c>
    </row>
    <row r="612" customFormat="false" ht="15" hidden="false" customHeight="false" outlineLevel="0" collapsed="false">
      <c r="A612" s="3" t="n">
        <v>30002077</v>
      </c>
      <c r="B612" s="3" t="s">
        <v>240</v>
      </c>
      <c r="C612" s="3" t="s">
        <v>450</v>
      </c>
      <c r="D612" s="23" t="n">
        <v>36</v>
      </c>
      <c r="E612" s="23" t="n">
        <v>0</v>
      </c>
      <c r="F612" s="23" t="n">
        <f aca="false">D612-E612</f>
        <v>36</v>
      </c>
      <c r="G612" s="24" t="str">
        <f aca="false">IF(E612&gt;0,D612/E612-1,"")</f>
        <v/>
      </c>
      <c r="H612" s="3" t="str">
        <f aca="false">IF(MAX(D612,E612)&lt;Parametros!$B$16,"",IF(E612=0,"PIDE SIN FCST",IF(ABS(G612)&gt;Parametros!$B$14,IF(G612&gt;0,"SOBRE FCST","BAJO FCST"),"")))</f>
        <v/>
      </c>
    </row>
    <row r="613" customFormat="false" ht="15" hidden="false" customHeight="false" outlineLevel="0" collapsed="false">
      <c r="A613" s="3" t="n">
        <v>30000478</v>
      </c>
      <c r="B613" s="3" t="s">
        <v>248</v>
      </c>
      <c r="C613" s="3" t="s">
        <v>454</v>
      </c>
      <c r="D613" s="23" t="n">
        <v>1836</v>
      </c>
      <c r="E613" s="23" t="n">
        <v>1800</v>
      </c>
      <c r="F613" s="23" t="n">
        <f aca="false">D613-E613</f>
        <v>36</v>
      </c>
      <c r="G613" s="24" t="n">
        <f aca="false">IF(E613&gt;0,D613/E613-1,"")</f>
        <v>0.02</v>
      </c>
      <c r="H613" s="3" t="str">
        <f aca="false">IF(MAX(D613,E613)&lt;Parametros!$B$16,"",IF(E613=0,"PIDE SIN FCST",IF(ABS(G613)&gt;Parametros!$B$14,IF(G613&gt;0,"SOBRE FCST","BAJO FCST"),"")))</f>
        <v/>
      </c>
    </row>
    <row r="614" customFormat="false" ht="15" hidden="false" customHeight="false" outlineLevel="0" collapsed="false">
      <c r="A614" s="3" t="n">
        <v>30002187</v>
      </c>
      <c r="B614" s="3" t="s">
        <v>301</v>
      </c>
      <c r="C614" s="3" t="s">
        <v>448</v>
      </c>
      <c r="D614" s="23" t="n">
        <v>34.5</v>
      </c>
      <c r="E614" s="23" t="n">
        <v>0</v>
      </c>
      <c r="F614" s="23" t="n">
        <f aca="false">D614-E614</f>
        <v>34.5</v>
      </c>
      <c r="G614" s="24" t="str">
        <f aca="false">IF(E614&gt;0,D614/E614-1,"")</f>
        <v/>
      </c>
      <c r="H614" s="3" t="str">
        <f aca="false">IF(MAX(D614,E614)&lt;Parametros!$B$16,"",IF(E614=0,"PIDE SIN FCST",IF(ABS(G614)&gt;Parametros!$B$14,IF(G614&gt;0,"SOBRE FCST","BAJO FCST"),"")))</f>
        <v/>
      </c>
    </row>
    <row r="615" customFormat="false" ht="15" hidden="false" customHeight="false" outlineLevel="0" collapsed="false">
      <c r="A615" s="3" t="n">
        <v>30002186</v>
      </c>
      <c r="B615" s="3" t="s">
        <v>297</v>
      </c>
      <c r="C615" s="3" t="s">
        <v>448</v>
      </c>
      <c r="D615" s="23" t="n">
        <v>34.5</v>
      </c>
      <c r="E615" s="23" t="n">
        <v>0</v>
      </c>
      <c r="F615" s="23" t="n">
        <f aca="false">D615-E615</f>
        <v>34.5</v>
      </c>
      <c r="G615" s="24" t="str">
        <f aca="false">IF(E615&gt;0,D615/E615-1,"")</f>
        <v/>
      </c>
      <c r="H615" s="3" t="str">
        <f aca="false">IF(MAX(D615,E615)&lt;Parametros!$B$16,"",IF(E615=0,"PIDE SIN FCST",IF(ABS(G615)&gt;Parametros!$B$14,IF(G615&gt;0,"SOBRE FCST","BAJO FCST"),"")))</f>
        <v/>
      </c>
    </row>
    <row r="616" customFormat="false" ht="15" hidden="false" customHeight="false" outlineLevel="0" collapsed="false">
      <c r="A616" s="3" t="n">
        <v>30001412</v>
      </c>
      <c r="B616" s="3" t="s">
        <v>299</v>
      </c>
      <c r="C616" s="3" t="s">
        <v>448</v>
      </c>
      <c r="D616" s="23" t="n">
        <v>0</v>
      </c>
      <c r="E616" s="23" t="n">
        <v>34.3933333333334</v>
      </c>
      <c r="F616" s="23" t="n">
        <f aca="false">D616-E616</f>
        <v>-34.3933333333334</v>
      </c>
      <c r="G616" s="24" t="n">
        <f aca="false">IF(E616&gt;0,D616/E616-1,"")</f>
        <v>-1</v>
      </c>
      <c r="H616" s="3" t="str">
        <f aca="false">IF(MAX(D616,E616)&lt;Parametros!$B$16,"",IF(E616=0,"PIDE SIN FCST",IF(ABS(G616)&gt;Parametros!$B$14,IF(G616&gt;0,"SOBRE FCST","BAJO FCST"),"")))</f>
        <v/>
      </c>
    </row>
    <row r="617" customFormat="false" ht="15" hidden="false" customHeight="false" outlineLevel="0" collapsed="false">
      <c r="A617" s="3" t="n">
        <v>30001408</v>
      </c>
      <c r="B617" s="3" t="s">
        <v>302</v>
      </c>
      <c r="C617" s="3" t="s">
        <v>450</v>
      </c>
      <c r="D617" s="23" t="n">
        <v>34</v>
      </c>
      <c r="E617" s="23" t="n">
        <v>0</v>
      </c>
      <c r="F617" s="23" t="n">
        <f aca="false">D617-E617</f>
        <v>34</v>
      </c>
      <c r="G617" s="24" t="str">
        <f aca="false">IF(E617&gt;0,D617/E617-1,"")</f>
        <v/>
      </c>
      <c r="H617" s="3" t="str">
        <f aca="false">IF(MAX(D617,E617)&lt;Parametros!$B$16,"",IF(E617=0,"PIDE SIN FCST",IF(ABS(G617)&gt;Parametros!$B$14,IF(G617&gt;0,"SOBRE FCST","BAJO FCST"),"")))</f>
        <v/>
      </c>
    </row>
    <row r="618" customFormat="false" ht="15" hidden="false" customHeight="false" outlineLevel="0" collapsed="false">
      <c r="A618" s="3" t="n">
        <v>30001411</v>
      </c>
      <c r="B618" s="3" t="s">
        <v>300</v>
      </c>
      <c r="C618" s="3" t="s">
        <v>452</v>
      </c>
      <c r="D618" s="23" t="n">
        <v>0</v>
      </c>
      <c r="E618" s="23" t="n">
        <v>33.0268973355222</v>
      </c>
      <c r="F618" s="23" t="n">
        <f aca="false">D618-E618</f>
        <v>-33.0268973355222</v>
      </c>
      <c r="G618" s="24" t="n">
        <f aca="false">IF(E618&gt;0,D618/E618-1,"")</f>
        <v>-1</v>
      </c>
      <c r="H618" s="3" t="str">
        <f aca="false">IF(MAX(D618,E618)&lt;Parametros!$B$16,"",IF(E618=0,"PIDE SIN FCST",IF(ABS(G618)&gt;Parametros!$B$14,IF(G618&gt;0,"SOBRE FCST","BAJO FCST"),"")))</f>
        <v/>
      </c>
    </row>
    <row r="619" customFormat="false" ht="15" hidden="false" customHeight="false" outlineLevel="0" collapsed="false">
      <c r="A619" s="3" t="n">
        <v>30002330</v>
      </c>
      <c r="B619" s="3" t="s">
        <v>215</v>
      </c>
      <c r="C619" s="3" t="s">
        <v>453</v>
      </c>
      <c r="D619" s="23" t="n">
        <v>2220</v>
      </c>
      <c r="E619" s="23" t="n">
        <v>2252</v>
      </c>
      <c r="F619" s="23" t="n">
        <f aca="false">D619-E619</f>
        <v>-32</v>
      </c>
      <c r="G619" s="24" t="n">
        <f aca="false">IF(E619&gt;0,D619/E619-1,"")</f>
        <v>-0.0142095914742452</v>
      </c>
      <c r="H619" s="3" t="str">
        <f aca="false">IF(MAX(D619,E619)&lt;Parametros!$B$16,"",IF(E619=0,"PIDE SIN FCST",IF(ABS(G619)&gt;Parametros!$B$14,IF(G619&gt;0,"SOBRE FCST","BAJO FCST"),"")))</f>
        <v/>
      </c>
    </row>
    <row r="620" customFormat="false" ht="15" hidden="false" customHeight="false" outlineLevel="0" collapsed="false">
      <c r="A620" s="3" t="n">
        <v>30002077</v>
      </c>
      <c r="B620" s="3" t="s">
        <v>240</v>
      </c>
      <c r="C620" s="3" t="s">
        <v>448</v>
      </c>
      <c r="D620" s="23" t="n">
        <v>1344</v>
      </c>
      <c r="E620" s="23" t="n">
        <v>1373.76</v>
      </c>
      <c r="F620" s="23" t="n">
        <f aca="false">D620-E620</f>
        <v>-29.76</v>
      </c>
      <c r="G620" s="24" t="n">
        <f aca="false">IF(E620&gt;0,D620/E620-1,"")</f>
        <v>-0.0216631726065688</v>
      </c>
      <c r="H620" s="3" t="str">
        <f aca="false">IF(MAX(D620,E620)&lt;Parametros!$B$16,"",IF(E620=0,"PIDE SIN FCST",IF(ABS(G620)&gt;Parametros!$B$14,IF(G620&gt;0,"SOBRE FCST","BAJO FCST"),"")))</f>
        <v/>
      </c>
    </row>
    <row r="621" customFormat="false" ht="15" hidden="false" customHeight="false" outlineLevel="0" collapsed="false">
      <c r="A621" s="3" t="n">
        <v>30000334</v>
      </c>
      <c r="B621" s="3" t="s">
        <v>266</v>
      </c>
      <c r="C621" s="3" t="s">
        <v>454</v>
      </c>
      <c r="D621" s="23" t="n">
        <v>0</v>
      </c>
      <c r="E621" s="23" t="n">
        <v>29.28</v>
      </c>
      <c r="F621" s="23" t="n">
        <f aca="false">D621-E621</f>
        <v>-29.28</v>
      </c>
      <c r="G621" s="24" t="n">
        <f aca="false">IF(E621&gt;0,D621/E621-1,"")</f>
        <v>-1</v>
      </c>
      <c r="H621" s="3" t="str">
        <f aca="false">IF(MAX(D621,E621)&lt;Parametros!$B$16,"",IF(E621=0,"PIDE SIN FCST",IF(ABS(G621)&gt;Parametros!$B$14,IF(G621&gt;0,"SOBRE FCST","BAJO FCST"),"")))</f>
        <v/>
      </c>
    </row>
    <row r="622" customFormat="false" ht="15" hidden="false" customHeight="false" outlineLevel="0" collapsed="false">
      <c r="A622" s="3" t="n">
        <v>30000542</v>
      </c>
      <c r="B622" s="3" t="s">
        <v>296</v>
      </c>
      <c r="C622" s="3" t="s">
        <v>450</v>
      </c>
      <c r="D622" s="23" t="n">
        <v>269.5</v>
      </c>
      <c r="E622" s="23" t="n">
        <v>298</v>
      </c>
      <c r="F622" s="23" t="n">
        <f aca="false">D622-E622</f>
        <v>-28.5</v>
      </c>
      <c r="G622" s="24" t="n">
        <f aca="false">IF(E622&gt;0,D622/E622-1,"")</f>
        <v>-0.0956375838926175</v>
      </c>
      <c r="H622" s="3" t="str">
        <f aca="false">IF(MAX(D622,E622)&lt;Parametros!$B$16,"",IF(E622=0,"PIDE SIN FCST",IF(ABS(G622)&gt;Parametros!$B$14,IF(G622&gt;0,"SOBRE FCST","BAJO FCST"),"")))</f>
        <v/>
      </c>
    </row>
    <row r="623" customFormat="false" ht="15" hidden="false" customHeight="false" outlineLevel="0" collapsed="false">
      <c r="A623" s="3" t="n">
        <v>30000383</v>
      </c>
      <c r="B623" s="3" t="s">
        <v>288</v>
      </c>
      <c r="C623" s="3" t="s">
        <v>452</v>
      </c>
      <c r="D623" s="23" t="n">
        <v>252</v>
      </c>
      <c r="E623" s="23" t="n">
        <v>280.348620715356</v>
      </c>
      <c r="F623" s="23" t="n">
        <f aca="false">D623-E623</f>
        <v>-28.3486207153561</v>
      </c>
      <c r="G623" s="24" t="n">
        <f aca="false">IF(E623&gt;0,D623/E623-1,"")</f>
        <v>-0.101119173131724</v>
      </c>
      <c r="H623" s="3" t="str">
        <f aca="false">IF(MAX(D623,E623)&lt;Parametros!$B$16,"",IF(E623=0,"PIDE SIN FCST",IF(ABS(G623)&gt;Parametros!$B$14,IF(G623&gt;0,"SOBRE FCST","BAJO FCST"),"")))</f>
        <v/>
      </c>
    </row>
    <row r="624" customFormat="false" ht="15" hidden="false" customHeight="false" outlineLevel="0" collapsed="false">
      <c r="A624" s="3" t="n">
        <v>30001992</v>
      </c>
      <c r="B624" s="3" t="s">
        <v>269</v>
      </c>
      <c r="C624" s="3" t="s">
        <v>452</v>
      </c>
      <c r="D624" s="23" t="n">
        <v>468</v>
      </c>
      <c r="E624" s="23" t="n">
        <v>443.57444716831</v>
      </c>
      <c r="F624" s="23" t="n">
        <f aca="false">D624-E624</f>
        <v>24.4255528316905</v>
      </c>
      <c r="G624" s="24" t="n">
        <f aca="false">IF(E624&gt;0,D624/E624-1,"")</f>
        <v>0.0550652838269163</v>
      </c>
      <c r="H624" s="3" t="str">
        <f aca="false">IF(MAX(D624,E624)&lt;Parametros!$B$16,"",IF(E624=0,"PIDE SIN FCST",IF(ABS(G624)&gt;Parametros!$B$14,IF(G624&gt;0,"SOBRE FCST","BAJO FCST"),"")))</f>
        <v/>
      </c>
    </row>
    <row r="625" customFormat="false" ht="15" hidden="false" customHeight="false" outlineLevel="0" collapsed="false">
      <c r="A625" s="3" t="n">
        <v>30002291</v>
      </c>
      <c r="B625" s="3" t="s">
        <v>268</v>
      </c>
      <c r="C625" s="3" t="s">
        <v>455</v>
      </c>
      <c r="D625" s="23" t="n">
        <v>976.5</v>
      </c>
      <c r="E625" s="23" t="n">
        <v>1000</v>
      </c>
      <c r="F625" s="23" t="n">
        <f aca="false">D625-E625</f>
        <v>-23.5</v>
      </c>
      <c r="G625" s="24" t="n">
        <f aca="false">IF(E625&gt;0,D625/E625-1,"")</f>
        <v>-0.0235</v>
      </c>
      <c r="H625" s="3" t="str">
        <f aca="false">IF(MAX(D625,E625)&lt;Parametros!$B$16,"",IF(E625=0,"PIDE SIN FCST",IF(ABS(G625)&gt;Parametros!$B$14,IF(G625&gt;0,"SOBRE FCST","BAJO FCST"),"")))</f>
        <v/>
      </c>
    </row>
    <row r="626" customFormat="false" ht="15" hidden="false" customHeight="false" outlineLevel="0" collapsed="false">
      <c r="A626" s="3" t="n">
        <v>30002276</v>
      </c>
      <c r="B626" s="3" t="s">
        <v>276</v>
      </c>
      <c r="C626" s="3" t="s">
        <v>455</v>
      </c>
      <c r="D626" s="23" t="n">
        <v>4320</v>
      </c>
      <c r="E626" s="23" t="n">
        <v>4300</v>
      </c>
      <c r="F626" s="23" t="n">
        <f aca="false">D626-E626</f>
        <v>20</v>
      </c>
      <c r="G626" s="24" t="n">
        <f aca="false">IF(E626&gt;0,D626/E626-1,"")</f>
        <v>0.00465116279069777</v>
      </c>
      <c r="H626" s="3" t="str">
        <f aca="false">IF(MAX(D626,E626)&lt;Parametros!$B$16,"",IF(E626=0,"PIDE SIN FCST",IF(ABS(G626)&gt;Parametros!$B$14,IF(G626&gt;0,"SOBRE FCST","BAJO FCST"),"")))</f>
        <v/>
      </c>
    </row>
    <row r="627" customFormat="false" ht="15" hidden="false" customHeight="false" outlineLevel="0" collapsed="false">
      <c r="A627" s="3" t="n">
        <v>30001574</v>
      </c>
      <c r="B627" s="3" t="s">
        <v>239</v>
      </c>
      <c r="C627" s="3" t="s">
        <v>455</v>
      </c>
      <c r="D627" s="23" t="n">
        <v>19380</v>
      </c>
      <c r="E627" s="23" t="n">
        <v>19400</v>
      </c>
      <c r="F627" s="23" t="n">
        <f aca="false">D627-E627</f>
        <v>-20</v>
      </c>
      <c r="G627" s="24" t="n">
        <f aca="false">IF(E627&gt;0,D627/E627-1,"")</f>
        <v>-0.00103092783505154</v>
      </c>
      <c r="H627" s="3" t="str">
        <f aca="false">IF(MAX(D627,E627)&lt;Parametros!$B$16,"",IF(E627=0,"PIDE SIN FCST",IF(ABS(G627)&gt;Parametros!$B$14,IF(G627&gt;0,"SOBRE FCST","BAJO FCST"),"")))</f>
        <v/>
      </c>
    </row>
    <row r="628" customFormat="false" ht="15" hidden="false" customHeight="false" outlineLevel="0" collapsed="false">
      <c r="A628" s="3" t="n">
        <v>30000248</v>
      </c>
      <c r="B628" s="3" t="s">
        <v>264</v>
      </c>
      <c r="C628" s="3" t="s">
        <v>452</v>
      </c>
      <c r="D628" s="23" t="n">
        <v>2784</v>
      </c>
      <c r="E628" s="23" t="n">
        <v>2803.90482152324</v>
      </c>
      <c r="F628" s="23" t="n">
        <f aca="false">D628-E628</f>
        <v>-19.9048215232351</v>
      </c>
      <c r="G628" s="24" t="n">
        <f aca="false">IF(E628&gt;0,D628/E628-1,"")</f>
        <v>-0.00709896476172889</v>
      </c>
      <c r="H628" s="3" t="str">
        <f aca="false">IF(MAX(D628,E628)&lt;Parametros!$B$16,"",IF(E628=0,"PIDE SIN FCST",IF(ABS(G628)&gt;Parametros!$B$14,IF(G628&gt;0,"SOBRE FCST","BAJO FCST"),"")))</f>
        <v/>
      </c>
    </row>
    <row r="629" customFormat="false" ht="15" hidden="false" customHeight="false" outlineLevel="0" collapsed="false">
      <c r="A629" s="3" t="n">
        <v>30000307</v>
      </c>
      <c r="B629" s="3" t="s">
        <v>256</v>
      </c>
      <c r="C629" s="3" t="s">
        <v>451</v>
      </c>
      <c r="D629" s="23" t="n">
        <v>18</v>
      </c>
      <c r="E629" s="23" t="n">
        <v>0</v>
      </c>
      <c r="F629" s="23" t="n">
        <f aca="false">D629-E629</f>
        <v>18</v>
      </c>
      <c r="G629" s="24" t="str">
        <f aca="false">IF(E629&gt;0,D629/E629-1,"")</f>
        <v/>
      </c>
      <c r="H629" s="3" t="str">
        <f aca="false">IF(MAX(D629,E629)&lt;Parametros!$B$16,"",IF(E629=0,"PIDE SIN FCST",IF(ABS(G629)&gt;Parametros!$B$14,IF(G629&gt;0,"SOBRE FCST","BAJO FCST"),"")))</f>
        <v/>
      </c>
    </row>
    <row r="630" customFormat="false" ht="15" hidden="false" customHeight="false" outlineLevel="0" collapsed="false">
      <c r="A630" s="3" t="n">
        <v>30002358</v>
      </c>
      <c r="B630" s="3" t="s">
        <v>271</v>
      </c>
      <c r="C630" s="3" t="s">
        <v>452</v>
      </c>
      <c r="D630" s="23" t="n">
        <v>612</v>
      </c>
      <c r="E630" s="23" t="n">
        <v>629.213184950489</v>
      </c>
      <c r="F630" s="23" t="n">
        <f aca="false">D630-E630</f>
        <v>-17.2131849504887</v>
      </c>
      <c r="G630" s="24" t="n">
        <f aca="false">IF(E630&gt;0,D630/E630-1,"")</f>
        <v>-0.0273566819039928</v>
      </c>
      <c r="H630" s="3" t="str">
        <f aca="false">IF(MAX(D630,E630)&lt;Parametros!$B$16,"",IF(E630=0,"PIDE SIN FCST",IF(ABS(G630)&gt;Parametros!$B$14,IF(G630&gt;0,"SOBRE FCST","BAJO FCST"),"")))</f>
        <v/>
      </c>
    </row>
    <row r="631" customFormat="false" ht="15" hidden="false" customHeight="false" outlineLevel="0" collapsed="false">
      <c r="A631" s="3" t="n">
        <v>30000542</v>
      </c>
      <c r="B631" s="3" t="s">
        <v>296</v>
      </c>
      <c r="C631" s="3" t="s">
        <v>448</v>
      </c>
      <c r="D631" s="23" t="n">
        <v>177.1</v>
      </c>
      <c r="E631" s="23" t="n">
        <v>160.072916666667</v>
      </c>
      <c r="F631" s="23" t="n">
        <f aca="false">D631-E631</f>
        <v>17.0270833333334</v>
      </c>
      <c r="G631" s="24" t="n">
        <f aca="false">IF(E631&gt;0,D631/E631-1,"")</f>
        <v>0.106370794559771</v>
      </c>
      <c r="H631" s="3" t="str">
        <f aca="false">IF(MAX(D631,E631)&lt;Parametros!$B$16,"",IF(E631=0,"PIDE SIN FCST",IF(ABS(G631)&gt;Parametros!$B$14,IF(G631&gt;0,"SOBRE FCST","BAJO FCST"),"")))</f>
        <v/>
      </c>
    </row>
    <row r="632" customFormat="false" ht="15" hidden="false" customHeight="false" outlineLevel="0" collapsed="false">
      <c r="A632" s="3" t="n">
        <v>30001376</v>
      </c>
      <c r="B632" s="3" t="s">
        <v>254</v>
      </c>
      <c r="C632" s="3" t="s">
        <v>452</v>
      </c>
      <c r="D632" s="23" t="n">
        <v>360</v>
      </c>
      <c r="E632" s="23" t="n">
        <v>376.773593145123</v>
      </c>
      <c r="F632" s="23" t="n">
        <f aca="false">D632-E632</f>
        <v>-16.7735931451233</v>
      </c>
      <c r="G632" s="24" t="n">
        <f aca="false">IF(E632&gt;0,D632/E632-1,"")</f>
        <v>-0.044519025351818</v>
      </c>
      <c r="H632" s="3" t="str">
        <f aca="false">IF(MAX(D632,E632)&lt;Parametros!$B$16,"",IF(E632=0,"PIDE SIN FCST",IF(ABS(G632)&gt;Parametros!$B$14,IF(G632&gt;0,"SOBRE FCST","BAJO FCST"),"")))</f>
        <v/>
      </c>
    </row>
    <row r="633" customFormat="false" ht="15" hidden="false" customHeight="false" outlineLevel="0" collapsed="false">
      <c r="A633" s="3" t="n">
        <v>30001423</v>
      </c>
      <c r="B633" s="3" t="s">
        <v>230</v>
      </c>
      <c r="C633" s="3" t="s">
        <v>454</v>
      </c>
      <c r="D633" s="23" t="n">
        <v>234</v>
      </c>
      <c r="E633" s="23" t="n">
        <v>217.632888349515</v>
      </c>
      <c r="F633" s="23" t="n">
        <f aca="false">D633-E633</f>
        <v>16.3671116504855</v>
      </c>
      <c r="G633" s="24" t="n">
        <f aca="false">IF(E633&gt;0,D633/E633-1,"")</f>
        <v>0.0752051391433091</v>
      </c>
      <c r="H633" s="3" t="str">
        <f aca="false">IF(MAX(D633,E633)&lt;Parametros!$B$16,"",IF(E633=0,"PIDE SIN FCST",IF(ABS(G633)&gt;Parametros!$B$14,IF(G633&gt;0,"SOBRE FCST","BAJO FCST"),"")))</f>
        <v/>
      </c>
    </row>
    <row r="634" customFormat="false" ht="15" hidden="false" customHeight="false" outlineLevel="0" collapsed="false">
      <c r="A634" s="3" t="n">
        <v>30002261</v>
      </c>
      <c r="B634" s="3" t="s">
        <v>282</v>
      </c>
      <c r="C634" s="3" t="s">
        <v>452</v>
      </c>
      <c r="D634" s="23" t="n">
        <v>251.85</v>
      </c>
      <c r="E634" s="23" t="n">
        <v>267.622540947134</v>
      </c>
      <c r="F634" s="23" t="n">
        <f aca="false">D634-E634</f>
        <v>-15.7725409471343</v>
      </c>
      <c r="G634" s="24" t="n">
        <f aca="false">IF(E634&gt;0,D634/E634-1,"")</f>
        <v>-0.0589357715957491</v>
      </c>
      <c r="H634" s="3" t="str">
        <f aca="false">IF(MAX(D634,E634)&lt;Parametros!$B$16,"",IF(E634=0,"PIDE SIN FCST",IF(ABS(G634)&gt;Parametros!$B$14,IF(G634&gt;0,"SOBRE FCST","BAJO FCST"),"")))</f>
        <v/>
      </c>
    </row>
    <row r="635" customFormat="false" ht="15" hidden="false" customHeight="false" outlineLevel="0" collapsed="false">
      <c r="A635" s="3" t="n">
        <v>30001977</v>
      </c>
      <c r="B635" s="3" t="s">
        <v>220</v>
      </c>
      <c r="C635" s="3" t="s">
        <v>452</v>
      </c>
      <c r="D635" s="23" t="n">
        <v>1026</v>
      </c>
      <c r="E635" s="23" t="n">
        <v>1011.07017001737</v>
      </c>
      <c r="F635" s="23" t="n">
        <f aca="false">D635-E635</f>
        <v>14.929829982628</v>
      </c>
      <c r="G635" s="24" t="n">
        <f aca="false">IF(E635&gt;0,D635/E635-1,"")</f>
        <v>0.0147663638245519</v>
      </c>
      <c r="H635" s="3" t="str">
        <f aca="false">IF(MAX(D635,E635)&lt;Parametros!$B$16,"",IF(E635=0,"PIDE SIN FCST",IF(ABS(G635)&gt;Parametros!$B$14,IF(G635&gt;0,"SOBRE FCST","BAJO FCST"),"")))</f>
        <v/>
      </c>
    </row>
    <row r="636" customFormat="false" ht="15" hidden="false" customHeight="false" outlineLevel="0" collapsed="false">
      <c r="A636" s="3" t="n">
        <v>30000307</v>
      </c>
      <c r="B636" s="3" t="s">
        <v>256</v>
      </c>
      <c r="C636" s="3" t="s">
        <v>453</v>
      </c>
      <c r="D636" s="23" t="n">
        <v>540</v>
      </c>
      <c r="E636" s="23" t="n">
        <v>525.51622527618</v>
      </c>
      <c r="F636" s="23" t="n">
        <f aca="false">D636-E636</f>
        <v>14.4837747238203</v>
      </c>
      <c r="G636" s="24" t="n">
        <f aca="false">IF(E636&gt;0,D636/E636-1,"")</f>
        <v>0.0275610419377792</v>
      </c>
      <c r="H636" s="3" t="str">
        <f aca="false">IF(MAX(D636,E636)&lt;Parametros!$B$16,"",IF(E636=0,"PIDE SIN FCST",IF(ABS(G636)&gt;Parametros!$B$14,IF(G636&gt;0,"SOBRE FCST","BAJO FCST"),"")))</f>
        <v/>
      </c>
    </row>
    <row r="637" customFormat="false" ht="15" hidden="false" customHeight="false" outlineLevel="0" collapsed="false">
      <c r="A637" s="3" t="n">
        <v>30001149</v>
      </c>
      <c r="B637" s="3" t="s">
        <v>279</v>
      </c>
      <c r="C637" s="3" t="s">
        <v>451</v>
      </c>
      <c r="D637" s="23" t="n">
        <v>12</v>
      </c>
      <c r="E637" s="23" t="n">
        <v>0</v>
      </c>
      <c r="F637" s="23" t="n">
        <f aca="false">D637-E637</f>
        <v>12</v>
      </c>
      <c r="G637" s="24" t="str">
        <f aca="false">IF(E637&gt;0,D637/E637-1,"")</f>
        <v/>
      </c>
      <c r="H637" s="3" t="str">
        <f aca="false">IF(MAX(D637,E637)&lt;Parametros!$B$16,"",IF(E637=0,"PIDE SIN FCST",IF(ABS(G637)&gt;Parametros!$B$14,IF(G637&gt;0,"SOBRE FCST","BAJO FCST"),"")))</f>
        <v/>
      </c>
    </row>
    <row r="638" customFormat="false" ht="15" hidden="false" customHeight="false" outlineLevel="0" collapsed="false">
      <c r="A638" s="3" t="n">
        <v>30002099</v>
      </c>
      <c r="B638" s="3" t="s">
        <v>201</v>
      </c>
      <c r="C638" s="3" t="s">
        <v>451</v>
      </c>
      <c r="D638" s="23" t="n">
        <v>12</v>
      </c>
      <c r="E638" s="23" t="n">
        <v>0</v>
      </c>
      <c r="F638" s="23" t="n">
        <f aca="false">D638-E638</f>
        <v>12</v>
      </c>
      <c r="G638" s="24" t="str">
        <f aca="false">IF(E638&gt;0,D638/E638-1,"")</f>
        <v/>
      </c>
      <c r="H638" s="3" t="str">
        <f aca="false">IF(MAX(D638,E638)&lt;Parametros!$B$16,"",IF(E638=0,"PIDE SIN FCST",IF(ABS(G638)&gt;Parametros!$B$14,IF(G638&gt;0,"SOBRE FCST","BAJO FCST"),"")))</f>
        <v/>
      </c>
    </row>
    <row r="639" customFormat="false" ht="15" hidden="false" customHeight="false" outlineLevel="0" collapsed="false">
      <c r="A639" s="3" t="n">
        <v>30001405</v>
      </c>
      <c r="B639" s="3" t="s">
        <v>246</v>
      </c>
      <c r="C639" s="3" t="s">
        <v>452</v>
      </c>
      <c r="D639" s="23" t="n">
        <v>1030.5</v>
      </c>
      <c r="E639" s="23" t="n">
        <v>1036.92029059484</v>
      </c>
      <c r="F639" s="23" t="n">
        <f aca="false">D639-E639</f>
        <v>-6.42029059483593</v>
      </c>
      <c r="G639" s="24" t="n">
        <f aca="false">IF(E639&gt;0,D639/E639-1,"")</f>
        <v>-0.00619169154376653</v>
      </c>
      <c r="H639" s="3" t="str">
        <f aca="false">IF(MAX(D639,E639)&lt;Parametros!$B$16,"",IF(E639=0,"PIDE SIN FCST",IF(ABS(G639)&gt;Parametros!$B$14,IF(G639&gt;0,"SOBRE FCST","BAJO FCST"),"")))</f>
        <v/>
      </c>
    </row>
    <row r="640" customFormat="false" ht="15" hidden="false" customHeight="false" outlineLevel="0" collapsed="false">
      <c r="A640" s="3" t="n">
        <v>30001407</v>
      </c>
      <c r="B640" s="3" t="s">
        <v>280</v>
      </c>
      <c r="C640" s="3" t="s">
        <v>452</v>
      </c>
      <c r="D640" s="23" t="n">
        <v>1044</v>
      </c>
      <c r="E640" s="23" t="n">
        <v>1037.90591124335</v>
      </c>
      <c r="F640" s="23" t="n">
        <f aca="false">D640-E640</f>
        <v>6.09408875664894</v>
      </c>
      <c r="G640" s="24" t="n">
        <f aca="false">IF(E640&gt;0,D640/E640-1,"")</f>
        <v>0.00587152331500707</v>
      </c>
      <c r="H640" s="3" t="str">
        <f aca="false">IF(MAX(D640,E640)&lt;Parametros!$B$16,"",IF(E640=0,"PIDE SIN FCST",IF(ABS(G640)&gt;Parametros!$B$14,IF(G640&gt;0,"SOBRE FCST","BAJO FCST"),"")))</f>
        <v/>
      </c>
    </row>
    <row r="641" customFormat="false" ht="15" hidden="false" customHeight="false" outlineLevel="0" collapsed="false">
      <c r="A641" s="3" t="n">
        <v>30000244</v>
      </c>
      <c r="B641" s="3" t="s">
        <v>253</v>
      </c>
      <c r="C641" s="3" t="s">
        <v>450</v>
      </c>
      <c r="D641" s="23" t="n">
        <v>216</v>
      </c>
      <c r="E641" s="23" t="n">
        <v>210</v>
      </c>
      <c r="F641" s="23" t="n">
        <f aca="false">D641-E641</f>
        <v>6</v>
      </c>
      <c r="G641" s="24" t="n">
        <f aca="false">IF(E641&gt;0,D641/E641-1,"")</f>
        <v>0.0285714285714285</v>
      </c>
      <c r="H641" s="3" t="str">
        <f aca="false">IF(MAX(D641,E641)&lt;Parametros!$B$16,"",IF(E641=0,"PIDE SIN FCST",IF(ABS(G641)&gt;Parametros!$B$14,IF(G641&gt;0,"SOBRE FCST","BAJO FCST"),"")))</f>
        <v/>
      </c>
    </row>
    <row r="642" customFormat="false" ht="15" hidden="false" customHeight="false" outlineLevel="0" collapsed="false">
      <c r="A642" s="3" t="n">
        <v>30001487</v>
      </c>
      <c r="B642" s="3" t="s">
        <v>238</v>
      </c>
      <c r="C642" s="3" t="s">
        <v>452</v>
      </c>
      <c r="D642" s="23" t="n">
        <v>1146</v>
      </c>
      <c r="E642" s="23" t="n">
        <v>1151.938722626</v>
      </c>
      <c r="F642" s="23" t="n">
        <f aca="false">D642-E642</f>
        <v>-5.93872262600189</v>
      </c>
      <c r="G642" s="24" t="n">
        <f aca="false">IF(E642&gt;0,D642/E642-1,"")</f>
        <v>-0.00515541539611042</v>
      </c>
      <c r="H642" s="3" t="str">
        <f aca="false">IF(MAX(D642,E642)&lt;Parametros!$B$16,"",IF(E642=0,"PIDE SIN FCST",IF(ABS(G642)&gt;Parametros!$B$14,IF(G642&gt;0,"SOBRE FCST","BAJO FCST"),"")))</f>
        <v/>
      </c>
    </row>
    <row r="643" customFormat="false" ht="15" hidden="false" customHeight="false" outlineLevel="0" collapsed="false">
      <c r="A643" s="3" t="n">
        <v>30000309</v>
      </c>
      <c r="B643" s="3" t="s">
        <v>200</v>
      </c>
      <c r="C643" s="3" t="s">
        <v>453</v>
      </c>
      <c r="D643" s="23" t="n">
        <v>4488</v>
      </c>
      <c r="E643" s="23" t="n">
        <v>4493.01252959865</v>
      </c>
      <c r="F643" s="23" t="n">
        <f aca="false">D643-E643</f>
        <v>-5.0125295986536</v>
      </c>
      <c r="G643" s="24" t="n">
        <f aca="false">IF(E643&gt;0,D643/E643-1,"")</f>
        <v>-0.00111562778105612</v>
      </c>
      <c r="H643" s="3" t="str">
        <f aca="false">IF(MAX(D643,E643)&lt;Parametros!$B$16,"",IF(E643=0,"PIDE SIN FCST",IF(ABS(G643)&gt;Parametros!$B$14,IF(G643&gt;0,"SOBRE FCST","BAJO FCST"),"")))</f>
        <v/>
      </c>
    </row>
    <row r="644" customFormat="false" ht="15" hidden="false" customHeight="false" outlineLevel="0" collapsed="false">
      <c r="A644" s="3" t="n">
        <v>30002325</v>
      </c>
      <c r="B644" s="3" t="s">
        <v>272</v>
      </c>
      <c r="C644" s="3" t="s">
        <v>448</v>
      </c>
      <c r="D644" s="23" t="n">
        <v>1098</v>
      </c>
      <c r="E644" s="23" t="n">
        <v>1093.9375</v>
      </c>
      <c r="F644" s="23" t="n">
        <f aca="false">D644-E644</f>
        <v>4.0625</v>
      </c>
      <c r="G644" s="24" t="n">
        <f aca="false">IF(E644&gt;0,D644/E644-1,"")</f>
        <v>0.00371364908872773</v>
      </c>
      <c r="H644" s="3" t="str">
        <f aca="false">IF(MAX(D644,E644)&lt;Parametros!$B$16,"",IF(E644=0,"PIDE SIN FCST",IF(ABS(G644)&gt;Parametros!$B$14,IF(G644&gt;0,"SOBRE FCST","BAJO FCST"),"")))</f>
        <v/>
      </c>
    </row>
    <row r="645" customFormat="false" ht="15" hidden="false" customHeight="false" outlineLevel="0" collapsed="false">
      <c r="A645" s="3" t="n">
        <v>30002229</v>
      </c>
      <c r="B645" s="3" t="s">
        <v>235</v>
      </c>
      <c r="C645" s="3" t="s">
        <v>448</v>
      </c>
      <c r="D645" s="23" t="n">
        <v>115</v>
      </c>
      <c r="E645" s="23" t="n">
        <v>118.833333333333</v>
      </c>
      <c r="F645" s="23" t="n">
        <f aca="false">D645-E645</f>
        <v>-3.8333333333333</v>
      </c>
      <c r="G645" s="24" t="n">
        <f aca="false">IF(E645&gt;0,D645/E645-1,"")</f>
        <v>-0.0322580645161288</v>
      </c>
      <c r="H645" s="3" t="str">
        <f aca="false">IF(MAX(D645,E645)&lt;Parametros!$B$16,"",IF(E645=0,"PIDE SIN FCST",IF(ABS(G645)&gt;Parametros!$B$14,IF(G645&gt;0,"SOBRE FCST","BAJO FCST"),"")))</f>
        <v/>
      </c>
    </row>
    <row r="646" customFormat="false" ht="15" hidden="false" customHeight="false" outlineLevel="0" collapsed="false">
      <c r="A646" s="3" t="n">
        <v>30002329</v>
      </c>
      <c r="B646" s="3" t="s">
        <v>206</v>
      </c>
      <c r="C646" s="3" t="s">
        <v>447</v>
      </c>
      <c r="D646" s="23" t="n">
        <v>1890</v>
      </c>
      <c r="E646" s="23" t="n">
        <v>1892.46446310312</v>
      </c>
      <c r="F646" s="23" t="n">
        <f aca="false">D646-E646</f>
        <v>-2.46446310312194</v>
      </c>
      <c r="G646" s="24" t="n">
        <f aca="false">IF(E646&gt;0,D646/E646-1,"")</f>
        <v>-0.00130225066370915</v>
      </c>
      <c r="H646" s="3" t="str">
        <f aca="false">IF(MAX(D646,E646)&lt;Parametros!$B$16,"",IF(E646=0,"PIDE SIN FCST",IF(ABS(G646)&gt;Parametros!$B$14,IF(G646&gt;0,"SOBRE FCST","BAJO FCST"),"")))</f>
        <v/>
      </c>
    </row>
    <row r="647" customFormat="false" ht="15" hidden="false" customHeight="false" outlineLevel="0" collapsed="false">
      <c r="A647" s="3" t="n">
        <v>30000542</v>
      </c>
      <c r="B647" s="3" t="s">
        <v>296</v>
      </c>
      <c r="C647" s="3" t="s">
        <v>453</v>
      </c>
      <c r="D647" s="23" t="n">
        <v>38.5</v>
      </c>
      <c r="E647" s="23" t="n">
        <v>39.8853828982308</v>
      </c>
      <c r="F647" s="23" t="n">
        <f aca="false">D647-E647</f>
        <v>-1.38538289823082</v>
      </c>
      <c r="G647" s="24" t="n">
        <f aca="false">IF(E647&gt;0,D647/E647-1,"")</f>
        <v>-0.034734100504079</v>
      </c>
      <c r="H647" s="3" t="str">
        <f aca="false">IF(MAX(D647,E647)&lt;Parametros!$B$16,"",IF(E647=0,"PIDE SIN FCST",IF(ABS(G647)&gt;Parametros!$B$14,IF(G647&gt;0,"SOBRE FCST","BAJO FCST"),"")))</f>
        <v/>
      </c>
    </row>
    <row r="648" customFormat="false" ht="15" hidden="false" customHeight="false" outlineLevel="0" collapsed="false">
      <c r="A648" s="3" t="n">
        <v>30001925</v>
      </c>
      <c r="B648" s="3" t="s">
        <v>283</v>
      </c>
      <c r="C648" s="3" t="s">
        <v>455</v>
      </c>
      <c r="D648" s="23" t="n">
        <v>0</v>
      </c>
      <c r="E648" s="23" t="n">
        <v>0.89125</v>
      </c>
      <c r="F648" s="23" t="n">
        <f aca="false">D648-E648</f>
        <v>-0.89125</v>
      </c>
      <c r="G648" s="24" t="n">
        <f aca="false">IF(E648&gt;0,D648/E648-1,"")</f>
        <v>-1</v>
      </c>
      <c r="H648" s="3" t="str">
        <f aca="false">IF(MAX(D648,E648)&lt;Parametros!$B$16,"",IF(E648=0,"PIDE SIN FCST",IF(ABS(G648)&gt;Parametros!$B$14,IF(G648&gt;0,"SOBRE FCST","BAJO FCST"),"")))</f>
        <v/>
      </c>
    </row>
    <row r="649" customFormat="false" ht="15" hidden="false" customHeight="false" outlineLevel="0" collapsed="false">
      <c r="A649" s="3" t="n">
        <v>30000318</v>
      </c>
      <c r="B649" s="3" t="s">
        <v>224</v>
      </c>
      <c r="C649" s="3" t="s">
        <v>448</v>
      </c>
      <c r="D649" s="23" t="n">
        <v>11274</v>
      </c>
      <c r="E649" s="23" t="n">
        <v>11273.125</v>
      </c>
      <c r="F649" s="23" t="n">
        <f aca="false">D649-E649</f>
        <v>0.875</v>
      </c>
      <c r="G649" s="24" t="n">
        <f aca="false">IF(E649&gt;0,D649/E649-1,"")</f>
        <v>7.76182291954974E-005</v>
      </c>
      <c r="H649" s="3" t="str">
        <f aca="false">IF(MAX(D649,E649)&lt;Parametros!$B$16,"",IF(E649=0,"PIDE SIN FCST",IF(ABS(G649)&gt;Parametros!$B$14,IF(G649&gt;0,"SOBRE FCST","BAJO FCST"),"")))</f>
        <v/>
      </c>
    </row>
    <row r="650" customFormat="false" ht="15" hidden="false" customHeight="false" outlineLevel="0" collapsed="false">
      <c r="A650" s="3" t="n">
        <v>30000478</v>
      </c>
      <c r="B650" s="3" t="s">
        <v>248</v>
      </c>
      <c r="C650" s="3" t="s">
        <v>448</v>
      </c>
      <c r="D650" s="23" t="n">
        <v>2004</v>
      </c>
      <c r="E650" s="23" t="n">
        <v>2003.45833333333</v>
      </c>
      <c r="F650" s="23" t="n">
        <f aca="false">D650-E650</f>
        <v>0.54166666666697</v>
      </c>
      <c r="G650" s="24" t="n">
        <f aca="false">IF(E650&gt;0,D650/E650-1,"")</f>
        <v>0.000270365825759678</v>
      </c>
      <c r="H650" s="3" t="str">
        <f aca="false">IF(MAX(D650,E650)&lt;Parametros!$B$16,"",IF(E650=0,"PIDE SIN FCST",IF(ABS(G650)&gt;Parametros!$B$14,IF(G650&gt;0,"SOBRE FCST","BAJO FCST"),"")))</f>
        <v/>
      </c>
    </row>
    <row r="651" customFormat="false" ht="15" hidden="false" customHeight="false" outlineLevel="0" collapsed="false">
      <c r="A651" s="3" t="n">
        <v>30002217</v>
      </c>
      <c r="B651" s="3" t="s">
        <v>291</v>
      </c>
      <c r="C651" s="3" t="s">
        <v>455</v>
      </c>
      <c r="D651" s="23" t="n">
        <v>0</v>
      </c>
      <c r="E651" s="23" t="n">
        <v>0.2659375</v>
      </c>
      <c r="F651" s="23" t="n">
        <f aca="false">D651-E651</f>
        <v>-0.2659375</v>
      </c>
      <c r="G651" s="24" t="n">
        <f aca="false">IF(E651&gt;0,D651/E651-1,"")</f>
        <v>-1</v>
      </c>
      <c r="H651" s="3" t="str">
        <f aca="false">IF(MAX(D651,E651)&lt;Parametros!$B$16,"",IF(E651=0,"PIDE SIN FCST",IF(ABS(G651)&gt;Parametros!$B$14,IF(G651&gt;0,"SOBRE FCST","BAJO FCST"),"")))</f>
        <v/>
      </c>
    </row>
    <row r="652" customFormat="false" ht="15" hidden="false" customHeight="false" outlineLevel="0" collapsed="false">
      <c r="A652" s="3" t="n">
        <v>30000347</v>
      </c>
      <c r="B652" s="3" t="s">
        <v>227</v>
      </c>
      <c r="C652" s="3" t="s">
        <v>451</v>
      </c>
      <c r="D652" s="23" t="n">
        <v>24</v>
      </c>
      <c r="E652" s="23" t="n">
        <v>24</v>
      </c>
      <c r="F652" s="23" t="n">
        <f aca="false">D652-E652</f>
        <v>0</v>
      </c>
      <c r="G652" s="24" t="n">
        <f aca="false">IF(E652&gt;0,D652/E652-1,"")</f>
        <v>0</v>
      </c>
      <c r="H652" s="3" t="str">
        <f aca="false">IF(MAX(D652,E652)&lt;Parametros!$B$16,"",IF(E652=0,"PIDE SIN FCST",IF(ABS(G652)&gt;Parametros!$B$14,IF(G652&gt;0,"SOBRE FCST","BAJO FCST"),"")))</f>
        <v/>
      </c>
    </row>
  </sheetData>
  <autoFilter ref="A16:H652"/>
  <conditionalFormatting sqref="H17:H652">
    <cfRule type="expression" priority="2" aboveAverage="0" equalAverage="0" bottom="0" percent="0" rank="0" text="" dxfId="11">
      <formula>H17&lt;&gt;""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2026-10-22T13:44:50Z</dcterms:created>
  <dc:creator>openpyxl</dc:creator>
  <dc:description/>
  <dc:language>en-US</dc:language>
  <cp:lastModifiedBy/>
  <dcterms:modified xsi:type="dcterms:W3CDTF">2026-10-22T13:44:50Z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